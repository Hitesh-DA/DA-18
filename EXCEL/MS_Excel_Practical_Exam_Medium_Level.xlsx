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4\Downloads\"/>
    </mc:Choice>
  </mc:AlternateContent>
  <xr:revisionPtr revIDLastSave="0" documentId="13_ncr:1_{57B5F362-381D-4580-B83A-5DCF6B1E9CE0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Answ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5" i="6" l="1"/>
  <c r="H124" i="6"/>
  <c r="H123" i="6"/>
  <c r="H122" i="6"/>
  <c r="H121" i="6"/>
  <c r="H113" i="6"/>
  <c r="H114" i="6"/>
  <c r="H115" i="6"/>
  <c r="H116" i="6"/>
  <c r="H112" i="6"/>
  <c r="J93" i="6"/>
  <c r="I93" i="6"/>
  <c r="J95" i="6"/>
  <c r="I95" i="6"/>
  <c r="J97" i="6"/>
  <c r="I97" i="6"/>
  <c r="J96" i="6"/>
  <c r="I96" i="6"/>
  <c r="J94" i="6"/>
  <c r="I94" i="6"/>
  <c r="J92" i="6"/>
  <c r="I92" i="6"/>
  <c r="I83" i="6"/>
  <c r="I84" i="6"/>
  <c r="I85" i="6"/>
  <c r="I86" i="6"/>
  <c r="I87" i="6"/>
  <c r="I82" i="6"/>
  <c r="J74" i="6"/>
  <c r="I74" i="6"/>
  <c r="J73" i="6"/>
  <c r="I73" i="6"/>
  <c r="J72" i="6"/>
  <c r="I72" i="6"/>
  <c r="J71" i="6"/>
  <c r="I71" i="6"/>
  <c r="J70" i="6"/>
  <c r="I70" i="6"/>
  <c r="J69" i="6"/>
  <c r="I69" i="6"/>
  <c r="I60" i="6"/>
  <c r="I61" i="6"/>
  <c r="I62" i="6"/>
  <c r="I63" i="6"/>
  <c r="I64" i="6"/>
  <c r="I59" i="6"/>
  <c r="M51" i="6"/>
  <c r="M52" i="6"/>
  <c r="M49" i="6"/>
  <c r="I54" i="6"/>
  <c r="I53" i="6"/>
  <c r="I52" i="6"/>
  <c r="I51" i="6"/>
  <c r="I50" i="6"/>
  <c r="M50" i="6" s="1"/>
  <c r="I49" i="6"/>
  <c r="B44" i="6"/>
  <c r="J39" i="6"/>
  <c r="I39" i="6"/>
  <c r="J38" i="6"/>
  <c r="I38" i="6"/>
  <c r="J37" i="6"/>
  <c r="I37" i="6"/>
  <c r="K37" i="6" s="1"/>
  <c r="L37" i="6" s="1"/>
  <c r="J36" i="6"/>
  <c r="I36" i="6"/>
  <c r="J35" i="6"/>
  <c r="I35" i="6"/>
  <c r="J34" i="6"/>
  <c r="I34" i="6"/>
  <c r="J29" i="6"/>
  <c r="I29" i="6"/>
  <c r="K29" i="6" s="1"/>
  <c r="J28" i="6"/>
  <c r="I28" i="6"/>
  <c r="J27" i="6"/>
  <c r="I27" i="6"/>
  <c r="J26" i="6"/>
  <c r="I26" i="6"/>
  <c r="J25" i="6"/>
  <c r="I25" i="6"/>
  <c r="J24" i="6"/>
  <c r="I24" i="6"/>
  <c r="K16" i="6"/>
  <c r="K14" i="6"/>
  <c r="J15" i="6"/>
  <c r="J16" i="6"/>
  <c r="J17" i="6"/>
  <c r="J18" i="6"/>
  <c r="J19" i="6"/>
  <c r="J14" i="6"/>
  <c r="I19" i="6"/>
  <c r="K19" i="6" s="1"/>
  <c r="I18" i="6"/>
  <c r="K18" i="6" s="1"/>
  <c r="I17" i="6"/>
  <c r="K17" i="6" s="1"/>
  <c r="I16" i="6"/>
  <c r="I15" i="6"/>
  <c r="I14" i="6"/>
  <c r="I5" i="6"/>
  <c r="I6" i="6"/>
  <c r="I7" i="6"/>
  <c r="I8" i="6"/>
  <c r="I9" i="6"/>
  <c r="I4" i="6"/>
  <c r="J32" i="5"/>
  <c r="K15" i="6" l="1"/>
  <c r="K70" i="6"/>
  <c r="L70" i="6" s="1"/>
  <c r="K74" i="6"/>
  <c r="L74" i="6" s="1"/>
  <c r="K27" i="6"/>
  <c r="L27" i="6" s="1"/>
  <c r="K35" i="6"/>
  <c r="L35" i="6" s="1"/>
  <c r="K39" i="6"/>
  <c r="L39" i="6" s="1"/>
  <c r="K93" i="6"/>
  <c r="L93" i="6" s="1"/>
  <c r="K25" i="6"/>
  <c r="L25" i="6" s="1"/>
  <c r="K97" i="6"/>
  <c r="L97" i="6" s="1"/>
  <c r="K26" i="6"/>
  <c r="L26" i="6" s="1"/>
  <c r="L29" i="6"/>
  <c r="K24" i="6"/>
  <c r="L24" i="6" s="1"/>
  <c r="K28" i="6"/>
  <c r="L28" i="6" s="1"/>
  <c r="K72" i="6"/>
  <c r="L72" i="6" s="1"/>
  <c r="K94" i="6"/>
  <c r="L94" i="6" s="1"/>
  <c r="K92" i="6"/>
  <c r="L92" i="6" s="1"/>
  <c r="K96" i="6"/>
  <c r="L96" i="6" s="1"/>
  <c r="K95" i="6"/>
  <c r="L95" i="6" s="1"/>
  <c r="K71" i="6"/>
  <c r="L71" i="6" s="1"/>
  <c r="K73" i="6"/>
  <c r="L73" i="6" s="1"/>
  <c r="K69" i="6"/>
  <c r="L69" i="6" s="1"/>
  <c r="K34" i="6"/>
  <c r="L34" i="6" s="1"/>
  <c r="K36" i="6"/>
  <c r="L36" i="6" s="1"/>
  <c r="K38" i="6"/>
  <c r="L38" i="6" s="1"/>
  <c r="L40" i="6" l="1"/>
  <c r="C77" i="6"/>
  <c r="B77" i="6"/>
</calcChain>
</file>

<file path=xl/sharedStrings.xml><?xml version="1.0" encoding="utf-8"?>
<sst xmlns="http://schemas.openxmlformats.org/spreadsheetml/2006/main" count="446" uniqueCount="86">
  <si>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</si>
  <si>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</si>
  <si>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</si>
  <si>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</si>
  <si>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</si>
  <si>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</si>
  <si>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</si>
  <si>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</si>
  <si>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</si>
  <si>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</si>
  <si>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</si>
  <si>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</si>
  <si>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</si>
  <si>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</si>
  <si>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</si>
  <si>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</si>
  <si>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</si>
  <si>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</si>
  <si>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</si>
  <si>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</si>
  <si>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</si>
  <si>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</si>
  <si>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</si>
  <si>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</si>
  <si>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</si>
  <si>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</si>
  <si>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</si>
  <si>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</si>
  <si>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</si>
  <si>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</si>
  <si>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</si>
  <si>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</si>
  <si>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</si>
  <si>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</si>
  <si>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</si>
  <si>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</si>
  <si>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</si>
  <si>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</si>
  <si>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</si>
  <si>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</si>
  <si>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</si>
  <si>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</si>
  <si>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</si>
  <si>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</si>
  <si>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</si>
  <si>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</si>
  <si>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</si>
  <si>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</si>
  <si>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</si>
  <si>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</si>
  <si>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</si>
  <si>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</si>
  <si>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</si>
  <si>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</si>
  <si>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</si>
  <si>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</si>
  <si>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</si>
  <si>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</si>
  <si>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</si>
  <si>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</si>
  <si>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</si>
  <si>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</si>
  <si>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</si>
  <si>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</si>
  <si>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</si>
  <si>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</si>
  <si>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</si>
  <si>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</si>
  <si>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</si>
  <si>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</si>
  <si>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</si>
  <si>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</si>
  <si>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</si>
  <si>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</si>
  <si>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GST%</t>
  </si>
  <si>
    <t>GST Amount</t>
  </si>
  <si>
    <t>Final Payable Amount</t>
  </si>
  <si>
    <t>4. Find Grand Total of Final Amount</t>
  </si>
  <si>
    <t>5. Count total number of orders using COUNTA</t>
  </si>
  <si>
    <t>Total number of orders</t>
  </si>
  <si>
    <t>6. Find Region-wise total sales using SUMIF</t>
  </si>
  <si>
    <t>Quantity classification</t>
  </si>
  <si>
    <t>Maximum</t>
  </si>
  <si>
    <t>Minimum</t>
  </si>
  <si>
    <t>Month name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</si>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</sst>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sqref="A1:G7"/>
    </sheetView>
  </sheetViews>
  <sheetFormatPr defaultRowHeight="15" x14ac:dyDescent="0.25"/>
  <cols>
    <col min="3" max="3" width="11.7109375" bestFit="1" customWidth="1"/>
    <col min="4" max="4" width="7.85546875" bestFit="1" customWidth="1"/>
    <col min="5" max="5" width="8.7109375" bestFit="1" customWidth="1"/>
    <col min="6" max="6" width="10.140625" bestFit="1" customWidth="1"/>
    <col min="7" max="7" width="10.7109375" bestFit="1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4" sqref="C4"/>
    </sheetView>
  </sheetViews>
  <sheetFormatPr defaultRowHeight="15" x14ac:dyDescent="0.25"/>
  <cols>
    <col min="2" max="2" width="10.5703125" bestFit="1" customWidth="1"/>
    <col min="3" max="3" width="6.85546875" bestFit="1" customWidth="1"/>
  </cols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RowHeight="15" x14ac:dyDescent="0.25"/>
  <cols>
    <col min="1" max="1" width="10.85546875" bestFit="1" customWidth="1"/>
    <col min="2" max="3" width="6.42578125" bestFit="1" customWidth="1"/>
    <col min="4" max="4" width="8.85546875" bestFit="1" customWidth="1"/>
    <col min="5" max="5" width="5.5703125" bestFit="1" customWidth="1"/>
    <col min="6" max="6" width="14" bestFit="1" customWidth="1"/>
  </cols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opLeftCell="A10" workbookViewId="0">
      <selection activeCell="A14" sqref="A14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3CB7-C73E-4127-A586-F14C711890B8}">
  <dimension ref="A1:M134"/>
  <sheetViews>
    <sheetView tabSelected="1" topLeftCell="A125" workbookViewId="0">
      <selection activeCell="H140" sqref="H140"/>
    </sheetView>
  </sheetViews>
  <sheetFormatPr defaultRowHeight="15" x14ac:dyDescent="0.25"/>
  <cols>
    <col min="1" max="1" width="35" style="1" customWidth="1"/>
    <col min="2" max="2" width="10.85546875" bestFit="1" customWidth="1"/>
    <col min="3" max="3" width="9.7109375" bestFit="1" customWidth="1"/>
    <col min="4" max="4" width="11.7109375" bestFit="1" customWidth="1"/>
    <col min="5" max="5" width="8.85546875" bestFit="1" customWidth="1"/>
    <col min="6" max="6" width="8.7109375" bestFit="1" customWidth="1"/>
    <col min="7" max="7" width="14" bestFit="1" customWidth="1"/>
    <col min="8" max="8" width="14.7109375" bestFit="1" customWidth="1"/>
    <col min="9" max="9" width="20.85546875" bestFit="1" customWidth="1"/>
    <col min="11" max="11" width="11.85546875" bestFit="1" customWidth="1"/>
    <col min="12" max="12" width="20.5703125" bestFit="1" customWidth="1"/>
    <col min="13" max="13" width="10.42578125" bestFit="1" customWidth="1"/>
  </cols>
  <sheetData>
    <row r="1" spans="1:11" ht="30" x14ac:dyDescent="0.25">
      <c r="A1" s="1" t="s">
        <v>42</v>
      </c>
    </row>
    <row r="3" spans="1:11" x14ac:dyDescent="0.25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s="2" t="s">
        <v>73</v>
      </c>
    </row>
    <row r="4" spans="1:11" x14ac:dyDescent="0.25">
      <c r="B4">
        <v>301</v>
      </c>
      <c r="C4" t="s">
        <v>11</v>
      </c>
      <c r="D4" t="s">
        <v>12</v>
      </c>
      <c r="E4" t="s">
        <v>13</v>
      </c>
      <c r="F4">
        <v>2</v>
      </c>
      <c r="G4">
        <v>45000</v>
      </c>
      <c r="H4" t="s">
        <v>14</v>
      </c>
      <c r="I4">
        <f>F4*G4</f>
        <v>90000</v>
      </c>
    </row>
    <row r="5" spans="1:11" x14ac:dyDescent="0.25">
      <c r="B5">
        <v>302</v>
      </c>
      <c r="C5" t="s">
        <v>15</v>
      </c>
      <c r="D5" t="s">
        <v>16</v>
      </c>
      <c r="E5" t="s">
        <v>17</v>
      </c>
      <c r="F5">
        <v>5</v>
      </c>
      <c r="G5">
        <v>15000</v>
      </c>
      <c r="H5" t="s">
        <v>18</v>
      </c>
      <c r="I5">
        <f t="shared" ref="I5:I9" si="0">F5*G5</f>
        <v>75000</v>
      </c>
    </row>
    <row r="6" spans="1:11" x14ac:dyDescent="0.25">
      <c r="B6">
        <v>303</v>
      </c>
      <c r="C6" t="s">
        <v>19</v>
      </c>
      <c r="D6" t="s">
        <v>20</v>
      </c>
      <c r="E6" t="s">
        <v>21</v>
      </c>
      <c r="F6">
        <v>3</v>
      </c>
      <c r="G6">
        <v>18000</v>
      </c>
      <c r="H6" t="s">
        <v>22</v>
      </c>
      <c r="I6">
        <f t="shared" si="0"/>
        <v>54000</v>
      </c>
    </row>
    <row r="7" spans="1:11" x14ac:dyDescent="0.25">
      <c r="B7">
        <v>304</v>
      </c>
      <c r="C7" t="s">
        <v>23</v>
      </c>
      <c r="D7" t="s">
        <v>24</v>
      </c>
      <c r="E7" t="s">
        <v>13</v>
      </c>
      <c r="F7">
        <v>1</v>
      </c>
      <c r="G7">
        <v>45000</v>
      </c>
      <c r="H7" t="s">
        <v>25</v>
      </c>
      <c r="I7">
        <f t="shared" si="0"/>
        <v>45000</v>
      </c>
    </row>
    <row r="8" spans="1:11" x14ac:dyDescent="0.25">
      <c r="B8">
        <v>305</v>
      </c>
      <c r="C8" t="s">
        <v>11</v>
      </c>
      <c r="D8" t="s">
        <v>12</v>
      </c>
      <c r="E8" t="s">
        <v>17</v>
      </c>
      <c r="F8">
        <v>4</v>
      </c>
      <c r="G8">
        <v>15000</v>
      </c>
      <c r="H8" t="s">
        <v>26</v>
      </c>
      <c r="I8">
        <f t="shared" si="0"/>
        <v>60000</v>
      </c>
    </row>
    <row r="9" spans="1:11" x14ac:dyDescent="0.25">
      <c r="B9">
        <v>306</v>
      </c>
      <c r="C9" t="s">
        <v>15</v>
      </c>
      <c r="D9" t="s">
        <v>16</v>
      </c>
      <c r="E9" t="s">
        <v>13</v>
      </c>
      <c r="F9">
        <v>2</v>
      </c>
      <c r="G9">
        <v>45000</v>
      </c>
      <c r="H9" t="s">
        <v>27</v>
      </c>
      <c r="I9">
        <f t="shared" si="0"/>
        <v>90000</v>
      </c>
    </row>
    <row r="11" spans="1:11" ht="30" x14ac:dyDescent="0.25">
      <c r="A11" s="1" t="s">
        <v>43</v>
      </c>
    </row>
    <row r="13" spans="1:11" x14ac:dyDescent="0.25">
      <c r="B13" t="s">
        <v>4</v>
      </c>
      <c r="C13" t="s">
        <v>5</v>
      </c>
      <c r="D13" t="s">
        <v>6</v>
      </c>
      <c r="E13" t="s">
        <v>7</v>
      </c>
      <c r="F13" t="s">
        <v>8</v>
      </c>
      <c r="G13" t="s">
        <v>9</v>
      </c>
      <c r="H13" t="s">
        <v>10</v>
      </c>
      <c r="I13" t="s">
        <v>73</v>
      </c>
      <c r="J13" t="s">
        <v>74</v>
      </c>
      <c r="K13" s="2" t="s">
        <v>75</v>
      </c>
    </row>
    <row r="14" spans="1:11" x14ac:dyDescent="0.25">
      <c r="B14">
        <v>301</v>
      </c>
      <c r="C14" t="s">
        <v>11</v>
      </c>
      <c r="D14" t="s">
        <v>12</v>
      </c>
      <c r="E14" t="s">
        <v>13</v>
      </c>
      <c r="F14">
        <v>2</v>
      </c>
      <c r="G14">
        <v>45000</v>
      </c>
      <c r="H14" t="s">
        <v>14</v>
      </c>
      <c r="I14">
        <f>F14*G14</f>
        <v>90000</v>
      </c>
      <c r="J14">
        <f>VLOOKUP(E14,Product_Master!A:C,3,0)</f>
        <v>18</v>
      </c>
      <c r="K14">
        <f>I14*J14/100</f>
        <v>16200</v>
      </c>
    </row>
    <row r="15" spans="1:11" x14ac:dyDescent="0.25">
      <c r="B15">
        <v>302</v>
      </c>
      <c r="C15" t="s">
        <v>15</v>
      </c>
      <c r="D15" t="s">
        <v>16</v>
      </c>
      <c r="E15" t="s">
        <v>17</v>
      </c>
      <c r="F15">
        <v>5</v>
      </c>
      <c r="G15">
        <v>15000</v>
      </c>
      <c r="H15" t="s">
        <v>18</v>
      </c>
      <c r="I15">
        <f t="shared" ref="I15:I19" si="1">F15*G15</f>
        <v>75000</v>
      </c>
      <c r="J15">
        <f>VLOOKUP(E15,Product_Master!A:C,3,0)</f>
        <v>12</v>
      </c>
      <c r="K15">
        <f t="shared" ref="K15:K19" si="2">I15*J15/100</f>
        <v>9000</v>
      </c>
    </row>
    <row r="16" spans="1:11" x14ac:dyDescent="0.25">
      <c r="B16">
        <v>303</v>
      </c>
      <c r="C16" t="s">
        <v>19</v>
      </c>
      <c r="D16" t="s">
        <v>20</v>
      </c>
      <c r="E16" t="s">
        <v>21</v>
      </c>
      <c r="F16">
        <v>3</v>
      </c>
      <c r="G16">
        <v>18000</v>
      </c>
      <c r="H16" t="s">
        <v>22</v>
      </c>
      <c r="I16">
        <f t="shared" si="1"/>
        <v>54000</v>
      </c>
      <c r="J16">
        <f>VLOOKUP(E16,Product_Master!A:C,3,0)</f>
        <v>12</v>
      </c>
      <c r="K16">
        <f t="shared" si="2"/>
        <v>6480</v>
      </c>
    </row>
    <row r="17" spans="1:12" x14ac:dyDescent="0.25">
      <c r="B17">
        <v>304</v>
      </c>
      <c r="C17" t="s">
        <v>23</v>
      </c>
      <c r="D17" t="s">
        <v>24</v>
      </c>
      <c r="E17" t="s">
        <v>13</v>
      </c>
      <c r="F17">
        <v>1</v>
      </c>
      <c r="G17">
        <v>45000</v>
      </c>
      <c r="H17" t="s">
        <v>25</v>
      </c>
      <c r="I17">
        <f t="shared" si="1"/>
        <v>45000</v>
      </c>
      <c r="J17">
        <f>VLOOKUP(E17,Product_Master!A:C,3,0)</f>
        <v>18</v>
      </c>
      <c r="K17">
        <f t="shared" si="2"/>
        <v>8100</v>
      </c>
    </row>
    <row r="18" spans="1:12" x14ac:dyDescent="0.25">
      <c r="B18">
        <v>305</v>
      </c>
      <c r="C18" t="s">
        <v>11</v>
      </c>
      <c r="D18" t="s">
        <v>12</v>
      </c>
      <c r="E18" t="s">
        <v>17</v>
      </c>
      <c r="F18">
        <v>4</v>
      </c>
      <c r="G18">
        <v>15000</v>
      </c>
      <c r="H18" t="s">
        <v>26</v>
      </c>
      <c r="I18">
        <f t="shared" si="1"/>
        <v>60000</v>
      </c>
      <c r="J18">
        <f>VLOOKUP(E18,Product_Master!A:C,3,0)</f>
        <v>12</v>
      </c>
      <c r="K18">
        <f t="shared" si="2"/>
        <v>7200</v>
      </c>
    </row>
    <row r="19" spans="1:12" x14ac:dyDescent="0.25">
      <c r="B19">
        <v>306</v>
      </c>
      <c r="C19" t="s">
        <v>15</v>
      </c>
      <c r="D19" t="s">
        <v>16</v>
      </c>
      <c r="E19" t="s">
        <v>13</v>
      </c>
      <c r="F19">
        <v>2</v>
      </c>
      <c r="G19">
        <v>45000</v>
      </c>
      <c r="H19" t="s">
        <v>27</v>
      </c>
      <c r="I19">
        <f t="shared" si="1"/>
        <v>90000</v>
      </c>
      <c r="J19">
        <f>VLOOKUP(E19,Product_Master!A:C,3,0)</f>
        <v>18</v>
      </c>
      <c r="K19">
        <f t="shared" si="2"/>
        <v>16200</v>
      </c>
    </row>
    <row r="21" spans="1:12" ht="30" x14ac:dyDescent="0.25">
      <c r="A21" s="1" t="s">
        <v>44</v>
      </c>
    </row>
    <row r="23" spans="1:12" x14ac:dyDescent="0.25">
      <c r="B23" t="s">
        <v>4</v>
      </c>
      <c r="C23" t="s">
        <v>5</v>
      </c>
      <c r="D23" t="s">
        <v>6</v>
      </c>
      <c r="E23" t="s">
        <v>7</v>
      </c>
      <c r="F23" t="s">
        <v>8</v>
      </c>
      <c r="G23" t="s">
        <v>9</v>
      </c>
      <c r="H23" t="s">
        <v>10</v>
      </c>
      <c r="I23" t="s">
        <v>73</v>
      </c>
      <c r="J23" t="s">
        <v>74</v>
      </c>
      <c r="K23" t="s">
        <v>75</v>
      </c>
      <c r="L23" s="2" t="s">
        <v>76</v>
      </c>
    </row>
    <row r="24" spans="1:12" x14ac:dyDescent="0.25">
      <c r="B24">
        <v>301</v>
      </c>
      <c r="C24" t="s">
        <v>11</v>
      </c>
      <c r="D24" t="s">
        <v>12</v>
      </c>
      <c r="E24" t="s">
        <v>13</v>
      </c>
      <c r="F24">
        <v>2</v>
      </c>
      <c r="G24">
        <v>45000</v>
      </c>
      <c r="H24" t="s">
        <v>14</v>
      </c>
      <c r="I24">
        <f>F24*G24</f>
        <v>90000</v>
      </c>
      <c r="J24">
        <f>VLOOKUP(E24,Product_Master!A:C,3,0)</f>
        <v>18</v>
      </c>
      <c r="K24">
        <f>I24*J24/100</f>
        <v>16200</v>
      </c>
      <c r="L24">
        <f>I24+K24</f>
        <v>106200</v>
      </c>
    </row>
    <row r="25" spans="1:12" x14ac:dyDescent="0.25">
      <c r="B25">
        <v>302</v>
      </c>
      <c r="C25" t="s">
        <v>15</v>
      </c>
      <c r="D25" t="s">
        <v>16</v>
      </c>
      <c r="E25" t="s">
        <v>17</v>
      </c>
      <c r="F25">
        <v>5</v>
      </c>
      <c r="G25">
        <v>15000</v>
      </c>
      <c r="H25" t="s">
        <v>18</v>
      </c>
      <c r="I25">
        <f t="shared" ref="I25:I29" si="3">F25*G25</f>
        <v>75000</v>
      </c>
      <c r="J25">
        <f>VLOOKUP(E25,Product_Master!A:C,3,0)</f>
        <v>12</v>
      </c>
      <c r="K25">
        <f t="shared" ref="K25:K29" si="4">I25*J25/100</f>
        <v>9000</v>
      </c>
      <c r="L25">
        <f t="shared" ref="L25:L29" si="5">I25+K25</f>
        <v>84000</v>
      </c>
    </row>
    <row r="26" spans="1:12" x14ac:dyDescent="0.25">
      <c r="B26">
        <v>303</v>
      </c>
      <c r="C26" t="s">
        <v>19</v>
      </c>
      <c r="D26" t="s">
        <v>20</v>
      </c>
      <c r="E26" t="s">
        <v>21</v>
      </c>
      <c r="F26">
        <v>3</v>
      </c>
      <c r="G26">
        <v>18000</v>
      </c>
      <c r="H26" t="s">
        <v>22</v>
      </c>
      <c r="I26">
        <f t="shared" si="3"/>
        <v>54000</v>
      </c>
      <c r="J26">
        <f>VLOOKUP(E26,Product_Master!A:C,3,0)</f>
        <v>12</v>
      </c>
      <c r="K26">
        <f t="shared" si="4"/>
        <v>6480</v>
      </c>
      <c r="L26">
        <f t="shared" si="5"/>
        <v>60480</v>
      </c>
    </row>
    <row r="27" spans="1:12" x14ac:dyDescent="0.25">
      <c r="B27">
        <v>304</v>
      </c>
      <c r="C27" t="s">
        <v>23</v>
      </c>
      <c r="D27" t="s">
        <v>24</v>
      </c>
      <c r="E27" t="s">
        <v>13</v>
      </c>
      <c r="F27">
        <v>1</v>
      </c>
      <c r="G27">
        <v>45000</v>
      </c>
      <c r="H27" t="s">
        <v>25</v>
      </c>
      <c r="I27">
        <f t="shared" si="3"/>
        <v>45000</v>
      </c>
      <c r="J27">
        <f>VLOOKUP(E27,Product_Master!A:C,3,0)</f>
        <v>18</v>
      </c>
      <c r="K27">
        <f t="shared" si="4"/>
        <v>8100</v>
      </c>
      <c r="L27">
        <f t="shared" si="5"/>
        <v>53100</v>
      </c>
    </row>
    <row r="28" spans="1:12" x14ac:dyDescent="0.25">
      <c r="B28">
        <v>305</v>
      </c>
      <c r="C28" t="s">
        <v>11</v>
      </c>
      <c r="D28" t="s">
        <v>12</v>
      </c>
      <c r="E28" t="s">
        <v>17</v>
      </c>
      <c r="F28">
        <v>4</v>
      </c>
      <c r="G28">
        <v>15000</v>
      </c>
      <c r="H28" t="s">
        <v>26</v>
      </c>
      <c r="I28">
        <f t="shared" si="3"/>
        <v>60000</v>
      </c>
      <c r="J28">
        <f>VLOOKUP(E28,Product_Master!A:C,3,0)</f>
        <v>12</v>
      </c>
      <c r="K28">
        <f t="shared" si="4"/>
        <v>7200</v>
      </c>
      <c r="L28">
        <f t="shared" si="5"/>
        <v>67200</v>
      </c>
    </row>
    <row r="29" spans="1:12" x14ac:dyDescent="0.25">
      <c r="B29">
        <v>306</v>
      </c>
      <c r="C29" t="s">
        <v>15</v>
      </c>
      <c r="D29" t="s">
        <v>16</v>
      </c>
      <c r="E29" t="s">
        <v>13</v>
      </c>
      <c r="F29">
        <v>2</v>
      </c>
      <c r="G29">
        <v>45000</v>
      </c>
      <c r="H29" t="s">
        <v>27</v>
      </c>
      <c r="I29">
        <f t="shared" si="3"/>
        <v>90000</v>
      </c>
      <c r="J29">
        <f>VLOOKUP(E29,Product_Master!A:C,3,0)</f>
        <v>18</v>
      </c>
      <c r="K29">
        <f t="shared" si="4"/>
        <v>16200</v>
      </c>
      <c r="L29">
        <f t="shared" si="5"/>
        <v>106200</v>
      </c>
    </row>
    <row r="31" spans="1:12" x14ac:dyDescent="0.25">
      <c r="A31" s="1" t="s">
        <v>77</v>
      </c>
    </row>
    <row r="33" spans="1:13" x14ac:dyDescent="0.25">
      <c r="B33" t="s">
        <v>4</v>
      </c>
      <c r="C33" t="s">
        <v>5</v>
      </c>
      <c r="D33" t="s">
        <v>6</v>
      </c>
      <c r="E33" t="s">
        <v>7</v>
      </c>
      <c r="F33" t="s">
        <v>8</v>
      </c>
      <c r="G33" t="s">
        <v>9</v>
      </c>
      <c r="H33" t="s">
        <v>10</v>
      </c>
      <c r="I33" t="s">
        <v>73</v>
      </c>
      <c r="J33" t="s">
        <v>74</v>
      </c>
      <c r="K33" t="s">
        <v>75</v>
      </c>
      <c r="L33" t="s">
        <v>76</v>
      </c>
    </row>
    <row r="34" spans="1:13" x14ac:dyDescent="0.25">
      <c r="B34">
        <v>301</v>
      </c>
      <c r="C34" t="s">
        <v>11</v>
      </c>
      <c r="D34" t="s">
        <v>12</v>
      </c>
      <c r="E34" t="s">
        <v>13</v>
      </c>
      <c r="F34">
        <v>2</v>
      </c>
      <c r="G34">
        <v>45000</v>
      </c>
      <c r="H34" t="s">
        <v>14</v>
      </c>
      <c r="I34">
        <f>F34*G34</f>
        <v>90000</v>
      </c>
      <c r="J34">
        <f>VLOOKUP(E34,Product_Master!A:C,3,0)</f>
        <v>18</v>
      </c>
      <c r="K34">
        <f>I34*J34/100</f>
        <v>16200</v>
      </c>
      <c r="L34">
        <f>I34+K34</f>
        <v>106200</v>
      </c>
    </row>
    <row r="35" spans="1:13" x14ac:dyDescent="0.25">
      <c r="B35">
        <v>302</v>
      </c>
      <c r="C35" t="s">
        <v>15</v>
      </c>
      <c r="D35" t="s">
        <v>16</v>
      </c>
      <c r="E35" t="s">
        <v>17</v>
      </c>
      <c r="F35">
        <v>5</v>
      </c>
      <c r="G35">
        <v>15000</v>
      </c>
      <c r="H35" t="s">
        <v>18</v>
      </c>
      <c r="I35">
        <f t="shared" ref="I35:I39" si="6">F35*G35</f>
        <v>75000</v>
      </c>
      <c r="J35">
        <f>VLOOKUP(E35,Product_Master!A:C,3,0)</f>
        <v>12</v>
      </c>
      <c r="K35">
        <f t="shared" ref="K35:K39" si="7">I35*J35/100</f>
        <v>9000</v>
      </c>
      <c r="L35">
        <f t="shared" ref="L35:L39" si="8">I35+K35</f>
        <v>84000</v>
      </c>
    </row>
    <row r="36" spans="1:13" x14ac:dyDescent="0.25">
      <c r="B36">
        <v>303</v>
      </c>
      <c r="C36" t="s">
        <v>19</v>
      </c>
      <c r="D36" t="s">
        <v>20</v>
      </c>
      <c r="E36" t="s">
        <v>21</v>
      </c>
      <c r="F36">
        <v>3</v>
      </c>
      <c r="G36">
        <v>18000</v>
      </c>
      <c r="H36" t="s">
        <v>22</v>
      </c>
      <c r="I36">
        <f t="shared" si="6"/>
        <v>54000</v>
      </c>
      <c r="J36">
        <f>VLOOKUP(E36,Product_Master!A:C,3,0)</f>
        <v>12</v>
      </c>
      <c r="K36">
        <f t="shared" si="7"/>
        <v>6480</v>
      </c>
      <c r="L36">
        <f t="shared" si="8"/>
        <v>60480</v>
      </c>
    </row>
    <row r="37" spans="1:13" x14ac:dyDescent="0.25">
      <c r="B37">
        <v>304</v>
      </c>
      <c r="C37" t="s">
        <v>23</v>
      </c>
      <c r="D37" t="s">
        <v>24</v>
      </c>
      <c r="E37" t="s">
        <v>13</v>
      </c>
      <c r="F37">
        <v>1</v>
      </c>
      <c r="G37">
        <v>45000</v>
      </c>
      <c r="H37" t="s">
        <v>25</v>
      </c>
      <c r="I37">
        <f t="shared" si="6"/>
        <v>45000</v>
      </c>
      <c r="J37">
        <f>VLOOKUP(E37,Product_Master!A:C,3,0)</f>
        <v>18</v>
      </c>
      <c r="K37">
        <f t="shared" si="7"/>
        <v>8100</v>
      </c>
      <c r="L37">
        <f t="shared" si="8"/>
        <v>53100</v>
      </c>
    </row>
    <row r="38" spans="1:13" x14ac:dyDescent="0.25">
      <c r="B38">
        <v>305</v>
      </c>
      <c r="C38" t="s">
        <v>11</v>
      </c>
      <c r="D38" t="s">
        <v>12</v>
      </c>
      <c r="E38" t="s">
        <v>17</v>
      </c>
      <c r="F38">
        <v>4</v>
      </c>
      <c r="G38">
        <v>15000</v>
      </c>
      <c r="H38" t="s">
        <v>26</v>
      </c>
      <c r="I38">
        <f t="shared" si="6"/>
        <v>60000</v>
      </c>
      <c r="J38">
        <f>VLOOKUP(E38,Product_Master!A:C,3,0)</f>
        <v>12</v>
      </c>
      <c r="K38">
        <f t="shared" si="7"/>
        <v>7200</v>
      </c>
      <c r="L38">
        <f t="shared" si="8"/>
        <v>67200</v>
      </c>
    </row>
    <row r="39" spans="1:13" x14ac:dyDescent="0.25">
      <c r="B39">
        <v>306</v>
      </c>
      <c r="C39" t="s">
        <v>15</v>
      </c>
      <c r="D39" t="s">
        <v>16</v>
      </c>
      <c r="E39" t="s">
        <v>13</v>
      </c>
      <c r="F39">
        <v>2</v>
      </c>
      <c r="G39">
        <v>45000</v>
      </c>
      <c r="H39" t="s">
        <v>27</v>
      </c>
      <c r="I39">
        <f t="shared" si="6"/>
        <v>90000</v>
      </c>
      <c r="J39">
        <f>VLOOKUP(E39,Product_Master!A:C,3,0)</f>
        <v>18</v>
      </c>
      <c r="K39">
        <f t="shared" si="7"/>
        <v>16200</v>
      </c>
      <c r="L39">
        <f t="shared" si="8"/>
        <v>106200</v>
      </c>
    </row>
    <row r="40" spans="1:13" x14ac:dyDescent="0.25">
      <c r="L40" s="2">
        <f>SUM(L34:L39)</f>
        <v>477180</v>
      </c>
    </row>
    <row r="42" spans="1:13" ht="30" x14ac:dyDescent="0.25">
      <c r="A42" s="1" t="s">
        <v>78</v>
      </c>
    </row>
    <row r="44" spans="1:13" x14ac:dyDescent="0.25">
      <c r="A44" t="s">
        <v>79</v>
      </c>
      <c r="B44">
        <f>COUNTA(Sales_Data!A2:A8)</f>
        <v>6</v>
      </c>
    </row>
    <row r="46" spans="1:13" ht="30" x14ac:dyDescent="0.25">
      <c r="A46" s="1" t="s">
        <v>80</v>
      </c>
    </row>
    <row r="48" spans="1:13" x14ac:dyDescent="0.25">
      <c r="B48" t="s">
        <v>4</v>
      </c>
      <c r="C48" t="s">
        <v>5</v>
      </c>
      <c r="D48" t="s">
        <v>6</v>
      </c>
      <c r="E48" t="s">
        <v>7</v>
      </c>
      <c r="F48" t="s">
        <v>8</v>
      </c>
      <c r="G48" t="s">
        <v>9</v>
      </c>
      <c r="H48" t="s">
        <v>10</v>
      </c>
      <c r="I48" s="3" t="s">
        <v>73</v>
      </c>
      <c r="L48" t="s">
        <v>5</v>
      </c>
      <c r="M48" s="2" t="s">
        <v>73</v>
      </c>
    </row>
    <row r="49" spans="1:13" x14ac:dyDescent="0.25">
      <c r="B49">
        <v>301</v>
      </c>
      <c r="C49" t="s">
        <v>11</v>
      </c>
      <c r="D49" t="s">
        <v>12</v>
      </c>
      <c r="E49" t="s">
        <v>13</v>
      </c>
      <c r="F49">
        <v>2</v>
      </c>
      <c r="G49">
        <v>45000</v>
      </c>
      <c r="H49" t="s">
        <v>14</v>
      </c>
      <c r="I49">
        <f>F49*G49</f>
        <v>90000</v>
      </c>
      <c r="L49" t="s">
        <v>11</v>
      </c>
      <c r="M49">
        <f>SUMIF(C49:C54,L49,I49:I54)</f>
        <v>150000</v>
      </c>
    </row>
    <row r="50" spans="1:13" x14ac:dyDescent="0.25">
      <c r="B50">
        <v>302</v>
      </c>
      <c r="C50" t="s">
        <v>15</v>
      </c>
      <c r="D50" t="s">
        <v>16</v>
      </c>
      <c r="E50" t="s">
        <v>17</v>
      </c>
      <c r="F50">
        <v>5</v>
      </c>
      <c r="G50">
        <v>15000</v>
      </c>
      <c r="H50" t="s">
        <v>18</v>
      </c>
      <c r="I50">
        <f t="shared" ref="I50:I54" si="9">F50*G50</f>
        <v>75000</v>
      </c>
      <c r="L50" t="s">
        <v>15</v>
      </c>
      <c r="M50">
        <f t="shared" ref="M50:M52" si="10">SUMIF(C50:C55,L50,I50:I55)</f>
        <v>165000</v>
      </c>
    </row>
    <row r="51" spans="1:13" x14ac:dyDescent="0.25">
      <c r="B51">
        <v>303</v>
      </c>
      <c r="C51" t="s">
        <v>19</v>
      </c>
      <c r="D51" t="s">
        <v>20</v>
      </c>
      <c r="E51" t="s">
        <v>21</v>
      </c>
      <c r="F51">
        <v>3</v>
      </c>
      <c r="G51">
        <v>18000</v>
      </c>
      <c r="H51" t="s">
        <v>22</v>
      </c>
      <c r="I51">
        <f t="shared" si="9"/>
        <v>54000</v>
      </c>
      <c r="L51" t="s">
        <v>19</v>
      </c>
      <c r="M51">
        <f t="shared" si="10"/>
        <v>54000</v>
      </c>
    </row>
    <row r="52" spans="1:13" x14ac:dyDescent="0.25">
      <c r="B52">
        <v>304</v>
      </c>
      <c r="C52" t="s">
        <v>23</v>
      </c>
      <c r="D52" t="s">
        <v>24</v>
      </c>
      <c r="E52" t="s">
        <v>13</v>
      </c>
      <c r="F52">
        <v>1</v>
      </c>
      <c r="G52">
        <v>45000</v>
      </c>
      <c r="H52" t="s">
        <v>25</v>
      </c>
      <c r="I52">
        <f t="shared" si="9"/>
        <v>45000</v>
      </c>
      <c r="L52" t="s">
        <v>23</v>
      </c>
      <c r="M52">
        <f t="shared" si="10"/>
        <v>45000</v>
      </c>
    </row>
    <row r="53" spans="1:13" x14ac:dyDescent="0.25">
      <c r="B53">
        <v>305</v>
      </c>
      <c r="C53" t="s">
        <v>11</v>
      </c>
      <c r="D53" t="s">
        <v>12</v>
      </c>
      <c r="E53" t="s">
        <v>17</v>
      </c>
      <c r="F53">
        <v>4</v>
      </c>
      <c r="G53">
        <v>15000</v>
      </c>
      <c r="H53" t="s">
        <v>26</v>
      </c>
      <c r="I53">
        <f t="shared" si="9"/>
        <v>60000</v>
      </c>
    </row>
    <row r="54" spans="1:13" x14ac:dyDescent="0.25">
      <c r="B54">
        <v>306</v>
      </c>
      <c r="C54" t="s">
        <v>15</v>
      </c>
      <c r="D54" t="s">
        <v>16</v>
      </c>
      <c r="E54" t="s">
        <v>13</v>
      </c>
      <c r="F54">
        <v>2</v>
      </c>
      <c r="G54">
        <v>45000</v>
      </c>
      <c r="H54" t="s">
        <v>27</v>
      </c>
      <c r="I54">
        <f t="shared" si="9"/>
        <v>90000</v>
      </c>
    </row>
    <row r="56" spans="1:13" ht="30" x14ac:dyDescent="0.25">
      <c r="A56" s="1" t="s">
        <v>48</v>
      </c>
    </row>
    <row r="58" spans="1:13" x14ac:dyDescent="0.25">
      <c r="B58" t="s">
        <v>4</v>
      </c>
      <c r="C58" t="s">
        <v>5</v>
      </c>
      <c r="D58" t="s">
        <v>6</v>
      </c>
      <c r="E58" t="s">
        <v>7</v>
      </c>
      <c r="F58" t="s">
        <v>8</v>
      </c>
      <c r="G58" t="s">
        <v>9</v>
      </c>
      <c r="H58" t="s">
        <v>10</v>
      </c>
      <c r="I58" s="2" t="s">
        <v>81</v>
      </c>
    </row>
    <row r="59" spans="1:13" x14ac:dyDescent="0.25">
      <c r="B59">
        <v>301</v>
      </c>
      <c r="C59" t="s">
        <v>11</v>
      </c>
      <c r="D59" t="s">
        <v>12</v>
      </c>
      <c r="E59" t="s">
        <v>13</v>
      </c>
      <c r="F59">
        <v>2</v>
      </c>
      <c r="G59">
        <v>45000</v>
      </c>
      <c r="H59" t="s">
        <v>14</v>
      </c>
      <c r="I59" t="str">
        <f>IF(Answers!F59&gt;3, "High", "Low")</f>
        <v>Low</v>
      </c>
    </row>
    <row r="60" spans="1:13" x14ac:dyDescent="0.25">
      <c r="B60">
        <v>302</v>
      </c>
      <c r="C60" t="s">
        <v>15</v>
      </c>
      <c r="D60" t="s">
        <v>16</v>
      </c>
      <c r="E60" t="s">
        <v>17</v>
      </c>
      <c r="F60">
        <v>5</v>
      </c>
      <c r="G60">
        <v>15000</v>
      </c>
      <c r="H60" t="s">
        <v>18</v>
      </c>
      <c r="I60" t="str">
        <f>IF(Answers!F60&gt;3, "High", "Low")</f>
        <v>High</v>
      </c>
    </row>
    <row r="61" spans="1:13" x14ac:dyDescent="0.25">
      <c r="B61">
        <v>303</v>
      </c>
      <c r="C61" t="s">
        <v>19</v>
      </c>
      <c r="D61" t="s">
        <v>20</v>
      </c>
      <c r="E61" t="s">
        <v>21</v>
      </c>
      <c r="F61">
        <v>3</v>
      </c>
      <c r="G61">
        <v>18000</v>
      </c>
      <c r="H61" t="s">
        <v>22</v>
      </c>
      <c r="I61" t="str">
        <f>IF(Answers!F61&gt;3, "High", "Low")</f>
        <v>Low</v>
      </c>
    </row>
    <row r="62" spans="1:13" x14ac:dyDescent="0.25">
      <c r="B62">
        <v>304</v>
      </c>
      <c r="C62" t="s">
        <v>23</v>
      </c>
      <c r="D62" t="s">
        <v>24</v>
      </c>
      <c r="E62" t="s">
        <v>13</v>
      </c>
      <c r="F62">
        <v>1</v>
      </c>
      <c r="G62">
        <v>45000</v>
      </c>
      <c r="H62" t="s">
        <v>25</v>
      </c>
      <c r="I62" t="str">
        <f>IF(Answers!F62&gt;3, "High", "Low")</f>
        <v>Low</v>
      </c>
    </row>
    <row r="63" spans="1:13" x14ac:dyDescent="0.25">
      <c r="B63">
        <v>305</v>
      </c>
      <c r="C63" t="s">
        <v>11</v>
      </c>
      <c r="D63" t="s">
        <v>12</v>
      </c>
      <c r="E63" t="s">
        <v>17</v>
      </c>
      <c r="F63">
        <v>4</v>
      </c>
      <c r="G63">
        <v>15000</v>
      </c>
      <c r="H63" t="s">
        <v>26</v>
      </c>
      <c r="I63" t="str">
        <f>IF(Answers!F63&gt;3, "High", "Low")</f>
        <v>High</v>
      </c>
    </row>
    <row r="64" spans="1:13" x14ac:dyDescent="0.25">
      <c r="B64">
        <v>306</v>
      </c>
      <c r="C64" t="s">
        <v>15</v>
      </c>
      <c r="D64" t="s">
        <v>16</v>
      </c>
      <c r="E64" t="s">
        <v>13</v>
      </c>
      <c r="F64">
        <v>2</v>
      </c>
      <c r="G64">
        <v>45000</v>
      </c>
      <c r="H64" t="s">
        <v>27</v>
      </c>
      <c r="I64" t="str">
        <f>IF(Answers!F64&gt;3, "High", "Low")</f>
        <v>Low</v>
      </c>
    </row>
    <row r="66" spans="1:12" ht="30" x14ac:dyDescent="0.25">
      <c r="A66" s="1" t="s">
        <v>49</v>
      </c>
    </row>
    <row r="68" spans="1:12" x14ac:dyDescent="0.25">
      <c r="B68" t="s">
        <v>4</v>
      </c>
      <c r="C68" t="s">
        <v>5</v>
      </c>
      <c r="D68" t="s">
        <v>6</v>
      </c>
      <c r="E68" t="s">
        <v>7</v>
      </c>
      <c r="F68" t="s">
        <v>8</v>
      </c>
      <c r="G68" t="s">
        <v>9</v>
      </c>
      <c r="H68" t="s">
        <v>10</v>
      </c>
      <c r="I68" t="s">
        <v>73</v>
      </c>
      <c r="J68" t="s">
        <v>74</v>
      </c>
      <c r="K68" t="s">
        <v>75</v>
      </c>
      <c r="L68" t="s">
        <v>76</v>
      </c>
    </row>
    <row r="69" spans="1:12" x14ac:dyDescent="0.25">
      <c r="B69">
        <v>301</v>
      </c>
      <c r="C69" t="s">
        <v>11</v>
      </c>
      <c r="D69" t="s">
        <v>12</v>
      </c>
      <c r="E69" t="s">
        <v>13</v>
      </c>
      <c r="F69">
        <v>2</v>
      </c>
      <c r="G69">
        <v>45000</v>
      </c>
      <c r="H69" t="s">
        <v>14</v>
      </c>
      <c r="I69">
        <f>F69*G69</f>
        <v>90000</v>
      </c>
      <c r="J69">
        <f>VLOOKUP(E69,Product_Master!A:C,3,0)</f>
        <v>18</v>
      </c>
      <c r="K69">
        <f>I69*J69/100</f>
        <v>16200</v>
      </c>
      <c r="L69">
        <f>I69+K69</f>
        <v>106200</v>
      </c>
    </row>
    <row r="70" spans="1:12" x14ac:dyDescent="0.25">
      <c r="B70">
        <v>302</v>
      </c>
      <c r="C70" t="s">
        <v>15</v>
      </c>
      <c r="D70" t="s">
        <v>16</v>
      </c>
      <c r="E70" t="s">
        <v>17</v>
      </c>
      <c r="F70">
        <v>5</v>
      </c>
      <c r="G70">
        <v>15000</v>
      </c>
      <c r="H70" t="s">
        <v>18</v>
      </c>
      <c r="I70">
        <f t="shared" ref="I70:I74" si="11">F70*G70</f>
        <v>75000</v>
      </c>
      <c r="J70">
        <f>VLOOKUP(E70,Product_Master!A:C,3,0)</f>
        <v>12</v>
      </c>
      <c r="K70">
        <f t="shared" ref="K70:K74" si="12">I70*J70/100</f>
        <v>9000</v>
      </c>
      <c r="L70">
        <f t="shared" ref="L70:L74" si="13">I70+K70</f>
        <v>84000</v>
      </c>
    </row>
    <row r="71" spans="1:12" x14ac:dyDescent="0.25">
      <c r="B71">
        <v>303</v>
      </c>
      <c r="C71" t="s">
        <v>19</v>
      </c>
      <c r="D71" t="s">
        <v>20</v>
      </c>
      <c r="E71" t="s">
        <v>21</v>
      </c>
      <c r="F71">
        <v>3</v>
      </c>
      <c r="G71">
        <v>18000</v>
      </c>
      <c r="H71" t="s">
        <v>22</v>
      </c>
      <c r="I71">
        <f t="shared" si="11"/>
        <v>54000</v>
      </c>
      <c r="J71">
        <f>VLOOKUP(E71,Product_Master!A:C,3,0)</f>
        <v>12</v>
      </c>
      <c r="K71">
        <f t="shared" si="12"/>
        <v>6480</v>
      </c>
      <c r="L71">
        <f t="shared" si="13"/>
        <v>60480</v>
      </c>
    </row>
    <row r="72" spans="1:12" x14ac:dyDescent="0.25">
      <c r="B72">
        <v>304</v>
      </c>
      <c r="C72" t="s">
        <v>23</v>
      </c>
      <c r="D72" t="s">
        <v>24</v>
      </c>
      <c r="E72" t="s">
        <v>13</v>
      </c>
      <c r="F72">
        <v>1</v>
      </c>
      <c r="G72">
        <v>45000</v>
      </c>
      <c r="H72" t="s">
        <v>25</v>
      </c>
      <c r="I72">
        <f t="shared" si="11"/>
        <v>45000</v>
      </c>
      <c r="J72">
        <f>VLOOKUP(E72,Product_Master!A:C,3,0)</f>
        <v>18</v>
      </c>
      <c r="K72">
        <f t="shared" si="12"/>
        <v>8100</v>
      </c>
      <c r="L72">
        <f t="shared" si="13"/>
        <v>53100</v>
      </c>
    </row>
    <row r="73" spans="1:12" x14ac:dyDescent="0.25">
      <c r="B73">
        <v>305</v>
      </c>
      <c r="C73" t="s">
        <v>11</v>
      </c>
      <c r="D73" t="s">
        <v>12</v>
      </c>
      <c r="E73" t="s">
        <v>17</v>
      </c>
      <c r="F73">
        <v>4</v>
      </c>
      <c r="G73">
        <v>15000</v>
      </c>
      <c r="H73" t="s">
        <v>26</v>
      </c>
      <c r="I73">
        <f t="shared" si="11"/>
        <v>60000</v>
      </c>
      <c r="J73">
        <f>VLOOKUP(E73,Product_Master!A:C,3,0)</f>
        <v>12</v>
      </c>
      <c r="K73">
        <f t="shared" si="12"/>
        <v>7200</v>
      </c>
      <c r="L73">
        <f t="shared" si="13"/>
        <v>67200</v>
      </c>
    </row>
    <row r="74" spans="1:12" x14ac:dyDescent="0.25">
      <c r="B74">
        <v>306</v>
      </c>
      <c r="C74" t="s">
        <v>15</v>
      </c>
      <c r="D74" t="s">
        <v>16</v>
      </c>
      <c r="E74" t="s">
        <v>13</v>
      </c>
      <c r="F74">
        <v>2</v>
      </c>
      <c r="G74">
        <v>45000</v>
      </c>
      <c r="H74" t="s">
        <v>27</v>
      </c>
      <c r="I74">
        <f t="shared" si="11"/>
        <v>90000</v>
      </c>
      <c r="J74">
        <f>VLOOKUP(E74,Product_Master!A:C,3,0)</f>
        <v>18</v>
      </c>
      <c r="K74">
        <f t="shared" si="12"/>
        <v>16200</v>
      </c>
      <c r="L74">
        <f t="shared" si="13"/>
        <v>106200</v>
      </c>
    </row>
    <row r="76" spans="1:12" x14ac:dyDescent="0.25">
      <c r="B76" s="4" t="s">
        <v>82</v>
      </c>
      <c r="C76" s="4" t="s">
        <v>83</v>
      </c>
    </row>
    <row r="77" spans="1:12" x14ac:dyDescent="0.25">
      <c r="B77" s="5">
        <f>MAX(L69:L74)</f>
        <v>106200</v>
      </c>
      <c r="C77" s="5">
        <f>MIN(L69:L74)</f>
        <v>53100</v>
      </c>
    </row>
    <row r="79" spans="1:12" ht="30" x14ac:dyDescent="0.25">
      <c r="A79" s="1" t="s">
        <v>50</v>
      </c>
    </row>
    <row r="81" spans="1:12" x14ac:dyDescent="0.25">
      <c r="B81" t="s">
        <v>4</v>
      </c>
      <c r="C81" t="s">
        <v>5</v>
      </c>
      <c r="D81" t="s">
        <v>6</v>
      </c>
      <c r="E81" t="s">
        <v>7</v>
      </c>
      <c r="F81" t="s">
        <v>8</v>
      </c>
      <c r="G81" t="s">
        <v>9</v>
      </c>
      <c r="H81" t="s">
        <v>10</v>
      </c>
      <c r="I81" t="s">
        <v>84</v>
      </c>
      <c r="J81" s="6"/>
      <c r="K81" s="6"/>
      <c r="L81" s="6"/>
    </row>
    <row r="82" spans="1:12" x14ac:dyDescent="0.25">
      <c r="B82">
        <v>301</v>
      </c>
      <c r="C82" t="s">
        <v>11</v>
      </c>
      <c r="D82" t="s">
        <v>12</v>
      </c>
      <c r="E82" t="s">
        <v>13</v>
      </c>
      <c r="F82">
        <v>2</v>
      </c>
      <c r="G82">
        <v>45000</v>
      </c>
      <c r="H82" t="s">
        <v>14</v>
      </c>
      <c r="I82" t="str">
        <f>TEXT(H82,"MMMM")</f>
        <v>January</v>
      </c>
      <c r="J82" s="7"/>
      <c r="K82" s="7"/>
      <c r="L82" s="6"/>
    </row>
    <row r="83" spans="1:12" x14ac:dyDescent="0.25">
      <c r="B83">
        <v>302</v>
      </c>
      <c r="C83" t="s">
        <v>15</v>
      </c>
      <c r="D83" t="s">
        <v>16</v>
      </c>
      <c r="E83" t="s">
        <v>17</v>
      </c>
      <c r="F83">
        <v>5</v>
      </c>
      <c r="G83">
        <v>15000</v>
      </c>
      <c r="H83" t="s">
        <v>18</v>
      </c>
      <c r="I83" t="str">
        <f t="shared" ref="I83:I87" si="14">TEXT(H83,"MMMM")</f>
        <v>January</v>
      </c>
      <c r="J83" s="7"/>
      <c r="K83" s="7"/>
      <c r="L83" s="6"/>
    </row>
    <row r="84" spans="1:12" x14ac:dyDescent="0.25">
      <c r="B84">
        <v>303</v>
      </c>
      <c r="C84" t="s">
        <v>19</v>
      </c>
      <c r="D84" t="s">
        <v>20</v>
      </c>
      <c r="E84" t="s">
        <v>21</v>
      </c>
      <c r="F84">
        <v>3</v>
      </c>
      <c r="G84">
        <v>18000</v>
      </c>
      <c r="H84" t="s">
        <v>22</v>
      </c>
      <c r="I84" t="str">
        <f t="shared" si="14"/>
        <v>January</v>
      </c>
      <c r="J84" s="7"/>
      <c r="K84" s="7"/>
      <c r="L84" s="6"/>
    </row>
    <row r="85" spans="1:12" x14ac:dyDescent="0.25">
      <c r="B85">
        <v>304</v>
      </c>
      <c r="C85" t="s">
        <v>23</v>
      </c>
      <c r="D85" t="s">
        <v>24</v>
      </c>
      <c r="E85" t="s">
        <v>13</v>
      </c>
      <c r="F85">
        <v>1</v>
      </c>
      <c r="G85">
        <v>45000</v>
      </c>
      <c r="H85" t="s">
        <v>25</v>
      </c>
      <c r="I85" t="str">
        <f t="shared" si="14"/>
        <v>January</v>
      </c>
      <c r="J85" s="7"/>
      <c r="K85" s="7"/>
      <c r="L85" s="6"/>
    </row>
    <row r="86" spans="1:12" x14ac:dyDescent="0.25">
      <c r="B86">
        <v>305</v>
      </c>
      <c r="C86" t="s">
        <v>11</v>
      </c>
      <c r="D86" t="s">
        <v>12</v>
      </c>
      <c r="E86" t="s">
        <v>17</v>
      </c>
      <c r="F86">
        <v>4</v>
      </c>
      <c r="G86">
        <v>15000</v>
      </c>
      <c r="H86" t="s">
        <v>26</v>
      </c>
      <c r="I86" t="str">
        <f t="shared" si="14"/>
        <v>January</v>
      </c>
      <c r="J86" s="7"/>
      <c r="K86" s="7"/>
      <c r="L86" s="6"/>
    </row>
    <row r="87" spans="1:12" x14ac:dyDescent="0.25">
      <c r="B87">
        <v>306</v>
      </c>
      <c r="C87" t="s">
        <v>15</v>
      </c>
      <c r="D87" t="s">
        <v>16</v>
      </c>
      <c r="E87" t="s">
        <v>13</v>
      </c>
      <c r="F87">
        <v>2</v>
      </c>
      <c r="G87">
        <v>45000</v>
      </c>
      <c r="H87" t="s">
        <v>27</v>
      </c>
      <c r="I87" t="str">
        <f t="shared" si="14"/>
        <v>January</v>
      </c>
      <c r="J87" s="7"/>
      <c r="K87" s="7"/>
      <c r="L87" s="6"/>
    </row>
    <row r="89" spans="1:12" ht="30" x14ac:dyDescent="0.25">
      <c r="A89" s="1" t="s">
        <v>51</v>
      </c>
    </row>
    <row r="91" spans="1:12" x14ac:dyDescent="0.25">
      <c r="B91" t="s">
        <v>4</v>
      </c>
      <c r="C91" t="s">
        <v>5</v>
      </c>
      <c r="D91" t="s">
        <v>6</v>
      </c>
      <c r="E91" t="s">
        <v>7</v>
      </c>
      <c r="F91" t="s">
        <v>8</v>
      </c>
      <c r="G91" t="s">
        <v>9</v>
      </c>
      <c r="H91" t="s">
        <v>10</v>
      </c>
      <c r="I91" t="s">
        <v>73</v>
      </c>
      <c r="J91" t="s">
        <v>74</v>
      </c>
      <c r="K91" t="s">
        <v>75</v>
      </c>
      <c r="L91" t="s">
        <v>76</v>
      </c>
    </row>
    <row r="92" spans="1:12" x14ac:dyDescent="0.25">
      <c r="B92">
        <v>301</v>
      </c>
      <c r="C92" t="s">
        <v>11</v>
      </c>
      <c r="D92" t="s">
        <v>12</v>
      </c>
      <c r="E92" t="s">
        <v>13</v>
      </c>
      <c r="F92">
        <v>2</v>
      </c>
      <c r="G92">
        <v>45000</v>
      </c>
      <c r="H92" t="s">
        <v>14</v>
      </c>
      <c r="I92">
        <f>F92*G92</f>
        <v>90000</v>
      </c>
      <c r="J92">
        <f>VLOOKUP(E92,Product_Master!A:C,3,0)</f>
        <v>18</v>
      </c>
      <c r="K92">
        <f>I92*J92/100</f>
        <v>16200</v>
      </c>
      <c r="L92">
        <f>I92+K92</f>
        <v>106200</v>
      </c>
    </row>
    <row r="93" spans="1:12" x14ac:dyDescent="0.25">
      <c r="B93">
        <v>306</v>
      </c>
      <c r="C93" t="s">
        <v>15</v>
      </c>
      <c r="D93" t="s">
        <v>16</v>
      </c>
      <c r="E93" t="s">
        <v>13</v>
      </c>
      <c r="F93">
        <v>2</v>
      </c>
      <c r="G93">
        <v>45000</v>
      </c>
      <c r="H93" t="s">
        <v>27</v>
      </c>
      <c r="I93">
        <f>F93*G93</f>
        <v>90000</v>
      </c>
      <c r="J93">
        <f>VLOOKUP(E93,Product_Master!A:C,3,0)</f>
        <v>18</v>
      </c>
      <c r="K93">
        <f>I93*J93/100</f>
        <v>16200</v>
      </c>
      <c r="L93">
        <f>I93+K93</f>
        <v>106200</v>
      </c>
    </row>
    <row r="94" spans="1:12" x14ac:dyDescent="0.25">
      <c r="B94">
        <v>302</v>
      </c>
      <c r="C94" t="s">
        <v>15</v>
      </c>
      <c r="D94" t="s">
        <v>16</v>
      </c>
      <c r="E94" t="s">
        <v>17</v>
      </c>
      <c r="F94">
        <v>5</v>
      </c>
      <c r="G94">
        <v>15000</v>
      </c>
      <c r="H94" t="s">
        <v>18</v>
      </c>
      <c r="I94">
        <f>F94*G94</f>
        <v>75000</v>
      </c>
      <c r="J94">
        <f>VLOOKUP(E94,Product_Master!A:C,3,0)</f>
        <v>12</v>
      </c>
      <c r="K94">
        <f>I94*J94/100</f>
        <v>9000</v>
      </c>
      <c r="L94">
        <f>I94+K94</f>
        <v>84000</v>
      </c>
    </row>
    <row r="95" spans="1:12" x14ac:dyDescent="0.25">
      <c r="B95">
        <v>305</v>
      </c>
      <c r="C95" t="s">
        <v>11</v>
      </c>
      <c r="D95" t="s">
        <v>12</v>
      </c>
      <c r="E95" t="s">
        <v>17</v>
      </c>
      <c r="F95">
        <v>4</v>
      </c>
      <c r="G95">
        <v>15000</v>
      </c>
      <c r="H95" t="s">
        <v>26</v>
      </c>
      <c r="I95">
        <f>F95*G95</f>
        <v>60000</v>
      </c>
      <c r="J95">
        <f>VLOOKUP(E95,Product_Master!A:C,3,0)</f>
        <v>12</v>
      </c>
      <c r="K95">
        <f>I95*J95/100</f>
        <v>7200</v>
      </c>
      <c r="L95">
        <f>I95+K95</f>
        <v>67200</v>
      </c>
    </row>
    <row r="96" spans="1:12" x14ac:dyDescent="0.25">
      <c r="B96">
        <v>303</v>
      </c>
      <c r="C96" t="s">
        <v>19</v>
      </c>
      <c r="D96" t="s">
        <v>20</v>
      </c>
      <c r="E96" t="s">
        <v>21</v>
      </c>
      <c r="F96">
        <v>3</v>
      </c>
      <c r="G96">
        <v>18000</v>
      </c>
      <c r="H96" t="s">
        <v>22</v>
      </c>
      <c r="I96">
        <f>F96*G96</f>
        <v>54000</v>
      </c>
      <c r="J96">
        <f>VLOOKUP(E96,Product_Master!A:C,3,0)</f>
        <v>12</v>
      </c>
      <c r="K96">
        <f>I96*J96/100</f>
        <v>6480</v>
      </c>
      <c r="L96">
        <f>I96+K96</f>
        <v>60480</v>
      </c>
    </row>
    <row r="97" spans="1:12" x14ac:dyDescent="0.25">
      <c r="B97">
        <v>304</v>
      </c>
      <c r="C97" t="s">
        <v>23</v>
      </c>
      <c r="D97" t="s">
        <v>24</v>
      </c>
      <c r="E97" t="s">
        <v>13</v>
      </c>
      <c r="F97">
        <v>1</v>
      </c>
      <c r="G97">
        <v>45000</v>
      </c>
      <c r="H97" t="s">
        <v>25</v>
      </c>
      <c r="I97">
        <f>F97*G97</f>
        <v>45000</v>
      </c>
      <c r="J97">
        <f>VLOOKUP(E97,Product_Master!A:C,3,0)</f>
        <v>18</v>
      </c>
      <c r="K97">
        <f>I97*J97/100</f>
        <v>8100</v>
      </c>
      <c r="L97">
        <f>I97+K97</f>
        <v>53100</v>
      </c>
    </row>
    <row r="99" spans="1:12" ht="30" x14ac:dyDescent="0.25">
      <c r="A99" s="1" t="s">
        <v>52</v>
      </c>
    </row>
    <row r="109" spans="1:12" ht="30" x14ac:dyDescent="0.25">
      <c r="A109" s="1" t="s">
        <v>53</v>
      </c>
    </row>
    <row r="111" spans="1:12" x14ac:dyDescent="0.25">
      <c r="B111" t="s">
        <v>31</v>
      </c>
      <c r="C111" t="s">
        <v>32</v>
      </c>
      <c r="D111" t="s">
        <v>33</v>
      </c>
      <c r="E111" t="s">
        <v>34</v>
      </c>
      <c r="F111" t="s">
        <v>35</v>
      </c>
      <c r="G111" t="s">
        <v>36</v>
      </c>
      <c r="H111" t="s">
        <v>85</v>
      </c>
    </row>
    <row r="112" spans="1:12" x14ac:dyDescent="0.25">
      <c r="B112">
        <v>1</v>
      </c>
      <c r="C112" t="s">
        <v>37</v>
      </c>
      <c r="D112">
        <v>78</v>
      </c>
      <c r="E112">
        <v>82</v>
      </c>
      <c r="F112">
        <v>85</v>
      </c>
      <c r="G112">
        <v>92</v>
      </c>
      <c r="H112" s="8">
        <f>AVERAGE(D112:F112)</f>
        <v>81.666666666666671</v>
      </c>
    </row>
    <row r="113" spans="1:8" x14ac:dyDescent="0.25">
      <c r="B113">
        <v>2</v>
      </c>
      <c r="C113" t="s">
        <v>38</v>
      </c>
      <c r="D113">
        <v>88</v>
      </c>
      <c r="E113">
        <v>91</v>
      </c>
      <c r="F113">
        <v>90</v>
      </c>
      <c r="G113">
        <v>96</v>
      </c>
      <c r="H113" s="8">
        <f t="shared" ref="H113:H116" si="15">AVERAGE(D113:F113)</f>
        <v>89.666666666666671</v>
      </c>
    </row>
    <row r="114" spans="1:8" x14ac:dyDescent="0.25">
      <c r="B114">
        <v>3</v>
      </c>
      <c r="C114" t="s">
        <v>39</v>
      </c>
      <c r="D114">
        <v>65</v>
      </c>
      <c r="E114">
        <v>70</v>
      </c>
      <c r="F114">
        <v>72</v>
      </c>
      <c r="G114">
        <v>85</v>
      </c>
      <c r="H114" s="8">
        <f t="shared" si="15"/>
        <v>69</v>
      </c>
    </row>
    <row r="115" spans="1:8" x14ac:dyDescent="0.25">
      <c r="B115">
        <v>4</v>
      </c>
      <c r="C115" t="s">
        <v>40</v>
      </c>
      <c r="D115">
        <v>92</v>
      </c>
      <c r="E115">
        <v>89</v>
      </c>
      <c r="F115">
        <v>94</v>
      </c>
      <c r="G115">
        <v>98</v>
      </c>
      <c r="H115" s="8">
        <f t="shared" si="15"/>
        <v>91.666666666666671</v>
      </c>
    </row>
    <row r="116" spans="1:8" x14ac:dyDescent="0.25">
      <c r="B116">
        <v>5</v>
      </c>
      <c r="C116" t="s">
        <v>41</v>
      </c>
      <c r="D116">
        <v>55</v>
      </c>
      <c r="E116">
        <v>60</v>
      </c>
      <c r="F116">
        <v>58</v>
      </c>
      <c r="G116">
        <v>80</v>
      </c>
      <c r="H116" s="8">
        <f t="shared" si="15"/>
        <v>57.666666666666664</v>
      </c>
    </row>
    <row r="118" spans="1:8" ht="30" x14ac:dyDescent="0.25">
      <c r="A118" s="1" t="s">
        <v>54</v>
      </c>
    </row>
    <row r="120" spans="1:8" x14ac:dyDescent="0.25">
      <c r="B120" t="s">
        <v>31</v>
      </c>
      <c r="C120" t="s">
        <v>32</v>
      </c>
      <c r="D120" t="s">
        <v>33</v>
      </c>
      <c r="E120" t="s">
        <v>34</v>
      </c>
      <c r="F120" t="s">
        <v>35</v>
      </c>
      <c r="G120" t="s">
        <v>36</v>
      </c>
      <c r="H120" t="s">
        <v>85</v>
      </c>
    </row>
    <row r="121" spans="1:8" x14ac:dyDescent="0.25">
      <c r="B121">
        <v>1</v>
      </c>
      <c r="C121" t="s">
        <v>37</v>
      </c>
      <c r="D121">
        <v>78</v>
      </c>
      <c r="E121">
        <v>82</v>
      </c>
      <c r="F121">
        <v>85</v>
      </c>
      <c r="G121">
        <v>92</v>
      </c>
      <c r="H121" s="8">
        <f>AVERAGE(D121:F121)</f>
        <v>81.666666666666671</v>
      </c>
    </row>
    <row r="122" spans="1:8" x14ac:dyDescent="0.25">
      <c r="B122">
        <v>2</v>
      </c>
      <c r="C122" t="s">
        <v>38</v>
      </c>
      <c r="D122">
        <v>88</v>
      </c>
      <c r="E122">
        <v>91</v>
      </c>
      <c r="F122">
        <v>90</v>
      </c>
      <c r="G122">
        <v>96</v>
      </c>
      <c r="H122" s="8">
        <f t="shared" ref="H122:H125" si="16">AVERAGE(D122:F122)</f>
        <v>89.666666666666671</v>
      </c>
    </row>
    <row r="123" spans="1:8" x14ac:dyDescent="0.25">
      <c r="B123">
        <v>3</v>
      </c>
      <c r="C123" t="s">
        <v>39</v>
      </c>
      <c r="D123">
        <v>65</v>
      </c>
      <c r="E123">
        <v>70</v>
      </c>
      <c r="F123">
        <v>72</v>
      </c>
      <c r="G123">
        <v>85</v>
      </c>
      <c r="H123" s="8">
        <f t="shared" si="16"/>
        <v>69</v>
      </c>
    </row>
    <row r="124" spans="1:8" x14ac:dyDescent="0.25">
      <c r="B124">
        <v>4</v>
      </c>
      <c r="C124" t="s">
        <v>40</v>
      </c>
      <c r="D124">
        <v>92</v>
      </c>
      <c r="E124">
        <v>89</v>
      </c>
      <c r="F124">
        <v>94</v>
      </c>
      <c r="G124">
        <v>98</v>
      </c>
      <c r="H124" s="8">
        <f t="shared" si="16"/>
        <v>91.666666666666671</v>
      </c>
    </row>
    <row r="125" spans="1:8" x14ac:dyDescent="0.25">
      <c r="B125">
        <v>5</v>
      </c>
      <c r="C125" t="s">
        <v>41</v>
      </c>
      <c r="D125">
        <v>55</v>
      </c>
      <c r="E125">
        <v>60</v>
      </c>
      <c r="F125">
        <v>58</v>
      </c>
      <c r="G125">
        <v>80</v>
      </c>
      <c r="H125" s="8">
        <f t="shared" si="16"/>
        <v>57.666666666666664</v>
      </c>
    </row>
    <row r="127" spans="1:8" ht="30" x14ac:dyDescent="0.25">
      <c r="A127" s="1" t="s">
        <v>55</v>
      </c>
    </row>
    <row r="129" spans="2:7" x14ac:dyDescent="0.25">
      <c r="B129" t="s">
        <v>31</v>
      </c>
      <c r="C129" t="s">
        <v>32</v>
      </c>
      <c r="D129" t="s">
        <v>33</v>
      </c>
      <c r="E129" t="s">
        <v>34</v>
      </c>
      <c r="F129" t="s">
        <v>35</v>
      </c>
      <c r="G129" t="s">
        <v>36</v>
      </c>
    </row>
    <row r="130" spans="2:7" x14ac:dyDescent="0.25">
      <c r="B130">
        <v>1</v>
      </c>
      <c r="C130" t="s">
        <v>37</v>
      </c>
      <c r="D130">
        <v>78</v>
      </c>
      <c r="E130">
        <v>82</v>
      </c>
      <c r="F130">
        <v>85</v>
      </c>
      <c r="G130">
        <v>92</v>
      </c>
    </row>
    <row r="131" spans="2:7" x14ac:dyDescent="0.25">
      <c r="B131">
        <v>2</v>
      </c>
      <c r="C131" t="s">
        <v>38</v>
      </c>
      <c r="D131">
        <v>88</v>
      </c>
      <c r="E131">
        <v>91</v>
      </c>
      <c r="F131">
        <v>90</v>
      </c>
      <c r="G131">
        <v>96</v>
      </c>
    </row>
    <row r="132" spans="2:7" x14ac:dyDescent="0.25">
      <c r="B132">
        <v>3</v>
      </c>
      <c r="C132" t="s">
        <v>39</v>
      </c>
      <c r="D132">
        <v>65</v>
      </c>
      <c r="E132">
        <v>70</v>
      </c>
      <c r="F132">
        <v>72</v>
      </c>
      <c r="G132">
        <v>85</v>
      </c>
    </row>
    <row r="133" spans="2:7" x14ac:dyDescent="0.25">
      <c r="B133">
        <v>4</v>
      </c>
      <c r="C133" t="s">
        <v>40</v>
      </c>
      <c r="D133">
        <v>92</v>
      </c>
      <c r="E133">
        <v>89</v>
      </c>
      <c r="F133">
        <v>94</v>
      </c>
      <c r="G133">
        <v>98</v>
      </c>
    </row>
    <row r="134" spans="2:7" x14ac:dyDescent="0.25">
      <c r="B134">
        <v>5</v>
      </c>
      <c r="C134" t="s">
        <v>41</v>
      </c>
      <c r="D134">
        <v>55</v>
      </c>
      <c r="E134">
        <v>60</v>
      </c>
      <c r="F134">
        <v>58</v>
      </c>
      <c r="G134">
        <v>80</v>
      </c>
    </row>
  </sheetData>
  <sortState xmlns:xlrd2="http://schemas.microsoft.com/office/spreadsheetml/2017/richdata2" ref="B92:L97">
    <sortCondition descending="1" ref="L92:L97"/>
  </sortState>
  <conditionalFormatting sqref="H121:H125">
    <cfRule type="top10" dxfId="0" priority="1" rank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ASDC4</cp:lastModifiedBy>
  <dcterms:created xsi:type="dcterms:W3CDTF">2025-12-20T09:26:06Z</dcterms:created>
  <dcterms:modified xsi:type="dcterms:W3CDTF">2026-07-12T09:57:51Z</dcterms:modified>
</cp:coreProperties>
</file>
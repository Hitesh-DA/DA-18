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itesh.kodwani\Downloads\"/>
    </mc:Choice>
  </mc:AlternateContent>
  <xr:revisionPtr revIDLastSave="0" documentId="13_ncr:1_{0684673B-A073-41A3-809E-882FA9DBE3D2}" xr6:coauthVersionLast="47" xr6:coauthVersionMax="47" xr10:uidLastSave="{00000000-0000-0000-0000-000000000000}"/>
  <bookViews>
    <workbookView xWindow="-108" yWindow="-108" windowWidth="23256" windowHeight="12456" firstSheet="2" activeTab="6" xr2:uid="{00000000-000D-0000-FFFF-FFFF00000000}"/>
  </bookViews>
  <sheets>
    <sheet name="Instructions" sheetId="1" r:id="rId1"/>
    <sheet name="Sheet1" sheetId="7" r:id="rId2"/>
    <sheet name="Sales_Data" sheetId="2" r:id="rId3"/>
    <sheet name="Product_Master" sheetId="3" r:id="rId4"/>
    <sheet name="Student_Marks" sheetId="4" r:id="rId5"/>
    <sheet name="Questions" sheetId="5" r:id="rId6"/>
    <sheet name="Answers" sheetId="6" r:id="rId7"/>
  </sheet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02" i="6" l="1"/>
  <c r="H3" i="2"/>
  <c r="H4" i="2"/>
  <c r="H5" i="2"/>
  <c r="H6" i="2"/>
  <c r="H7" i="2"/>
  <c r="H2" i="2"/>
  <c r="I274" i="6"/>
  <c r="I275" i="6"/>
  <c r="I276" i="6"/>
  <c r="I277" i="6"/>
  <c r="I278" i="6"/>
  <c r="I273" i="6"/>
  <c r="F268" i="6"/>
  <c r="I251" i="6"/>
  <c r="I252" i="6"/>
  <c r="I253" i="6"/>
  <c r="I254" i="6"/>
  <c r="I255" i="6"/>
  <c r="I250" i="6"/>
  <c r="J245" i="6"/>
  <c r="I245" i="6"/>
  <c r="J244" i="6"/>
  <c r="I244" i="6"/>
  <c r="J243" i="6"/>
  <c r="I243" i="6"/>
  <c r="K243" i="6" s="1"/>
  <c r="J242" i="6"/>
  <c r="I242" i="6"/>
  <c r="J241" i="6"/>
  <c r="I241" i="6"/>
  <c r="J240" i="6"/>
  <c r="I240" i="6"/>
  <c r="I231" i="6"/>
  <c r="I232" i="6"/>
  <c r="I233" i="6"/>
  <c r="I234" i="6"/>
  <c r="I235" i="6"/>
  <c r="I230" i="6"/>
  <c r="H222" i="6"/>
  <c r="H223" i="6"/>
  <c r="H224" i="6"/>
  <c r="H225" i="6"/>
  <c r="H221" i="6"/>
  <c r="F216" i="6"/>
  <c r="F204" i="6"/>
  <c r="H143" i="6"/>
  <c r="H144" i="6"/>
  <c r="H145" i="6"/>
  <c r="H146" i="6"/>
  <c r="H142" i="6"/>
  <c r="C137" i="6"/>
  <c r="H125" i="6"/>
  <c r="H124" i="6"/>
  <c r="H123" i="6"/>
  <c r="H122" i="6"/>
  <c r="H121" i="6"/>
  <c r="H113" i="6"/>
  <c r="H114" i="6"/>
  <c r="H115" i="6"/>
  <c r="H116" i="6"/>
  <c r="H112" i="6"/>
  <c r="J93" i="6"/>
  <c r="I93" i="6"/>
  <c r="J95" i="6"/>
  <c r="I95" i="6"/>
  <c r="J97" i="6"/>
  <c r="I97" i="6"/>
  <c r="J96" i="6"/>
  <c r="I96" i="6"/>
  <c r="J94" i="6"/>
  <c r="I94" i="6"/>
  <c r="J92" i="6"/>
  <c r="I92" i="6"/>
  <c r="I83" i="6"/>
  <c r="I84" i="6"/>
  <c r="I85" i="6"/>
  <c r="I86" i="6"/>
  <c r="I87" i="6"/>
  <c r="I82" i="6"/>
  <c r="J74" i="6"/>
  <c r="I74" i="6"/>
  <c r="J73" i="6"/>
  <c r="I73" i="6"/>
  <c r="J72" i="6"/>
  <c r="I72" i="6"/>
  <c r="J71" i="6"/>
  <c r="I71" i="6"/>
  <c r="J70" i="6"/>
  <c r="I70" i="6"/>
  <c r="J69" i="6"/>
  <c r="I69" i="6"/>
  <c r="I60" i="6"/>
  <c r="I61" i="6"/>
  <c r="I62" i="6"/>
  <c r="I63" i="6"/>
  <c r="I64" i="6"/>
  <c r="I59" i="6"/>
  <c r="I54" i="6"/>
  <c r="I53" i="6"/>
  <c r="M49" i="6" s="1"/>
  <c r="I52" i="6"/>
  <c r="M52" i="6" s="1"/>
  <c r="I51" i="6"/>
  <c r="M51" i="6" s="1"/>
  <c r="I50" i="6"/>
  <c r="I49" i="6"/>
  <c r="B44" i="6"/>
  <c r="J39" i="6"/>
  <c r="I39" i="6"/>
  <c r="J38" i="6"/>
  <c r="I38" i="6"/>
  <c r="J37" i="6"/>
  <c r="I37" i="6"/>
  <c r="K37" i="6" s="1"/>
  <c r="L37" i="6" s="1"/>
  <c r="J36" i="6"/>
  <c r="I36" i="6"/>
  <c r="J35" i="6"/>
  <c r="I35" i="6"/>
  <c r="J34" i="6"/>
  <c r="I34" i="6"/>
  <c r="J29" i="6"/>
  <c r="I29" i="6"/>
  <c r="J28" i="6"/>
  <c r="I28" i="6"/>
  <c r="J27" i="6"/>
  <c r="I27" i="6"/>
  <c r="J26" i="6"/>
  <c r="I26" i="6"/>
  <c r="J25" i="6"/>
  <c r="I25" i="6"/>
  <c r="J24" i="6"/>
  <c r="I24" i="6"/>
  <c r="J15" i="6"/>
  <c r="J16" i="6"/>
  <c r="J17" i="6"/>
  <c r="J18" i="6"/>
  <c r="J19" i="6"/>
  <c r="J14" i="6"/>
  <c r="I19" i="6"/>
  <c r="I18" i="6"/>
  <c r="I17" i="6"/>
  <c r="I16" i="6"/>
  <c r="I15" i="6"/>
  <c r="I14" i="6"/>
  <c r="K14" i="6" s="1"/>
  <c r="I5" i="6"/>
  <c r="I6" i="6"/>
  <c r="I7" i="6"/>
  <c r="I8" i="6"/>
  <c r="I9" i="6"/>
  <c r="I4" i="6"/>
  <c r="J32" i="5"/>
  <c r="K16" i="6" l="1"/>
  <c r="K17" i="6"/>
  <c r="K18" i="6"/>
  <c r="M50" i="6"/>
  <c r="K19" i="6"/>
  <c r="K29" i="6"/>
  <c r="L243" i="6"/>
  <c r="K241" i="6"/>
  <c r="L241" i="6" s="1"/>
  <c r="K244" i="6"/>
  <c r="L244" i="6" s="1"/>
  <c r="K240" i="6"/>
  <c r="L240" i="6" s="1"/>
  <c r="K242" i="6"/>
  <c r="L242" i="6" s="1"/>
  <c r="K245" i="6"/>
  <c r="L245" i="6" s="1"/>
  <c r="K15" i="6"/>
  <c r="K70" i="6"/>
  <c r="L70" i="6" s="1"/>
  <c r="K74" i="6"/>
  <c r="L74" i="6" s="1"/>
  <c r="K27" i="6"/>
  <c r="L27" i="6" s="1"/>
  <c r="K35" i="6"/>
  <c r="L35" i="6" s="1"/>
  <c r="K39" i="6"/>
  <c r="L39" i="6" s="1"/>
  <c r="K93" i="6"/>
  <c r="L93" i="6" s="1"/>
  <c r="K25" i="6"/>
  <c r="L25" i="6" s="1"/>
  <c r="K97" i="6"/>
  <c r="L97" i="6" s="1"/>
  <c r="K26" i="6"/>
  <c r="L26" i="6" s="1"/>
  <c r="L29" i="6"/>
  <c r="K24" i="6"/>
  <c r="L24" i="6" s="1"/>
  <c r="K28" i="6"/>
  <c r="L28" i="6" s="1"/>
  <c r="K72" i="6"/>
  <c r="L72" i="6" s="1"/>
  <c r="K94" i="6"/>
  <c r="L94" i="6" s="1"/>
  <c r="K92" i="6"/>
  <c r="L92" i="6" s="1"/>
  <c r="K96" i="6"/>
  <c r="L96" i="6" s="1"/>
  <c r="K95" i="6"/>
  <c r="L95" i="6" s="1"/>
  <c r="K71" i="6"/>
  <c r="L71" i="6" s="1"/>
  <c r="K73" i="6"/>
  <c r="L73" i="6" s="1"/>
  <c r="K69" i="6"/>
  <c r="L69" i="6" s="1"/>
  <c r="K34" i="6"/>
  <c r="L34" i="6" s="1"/>
  <c r="K36" i="6"/>
  <c r="L36" i="6" s="1"/>
  <c r="K38" i="6"/>
  <c r="L38" i="6" s="1"/>
  <c r="L40" i="6" l="1"/>
  <c r="C77" i="6"/>
  <c r="B77" i="6"/>
</calcChain>
</file>

<file path=xl/sharedStrings.xml><?xml version="1.0" encoding="utf-8"?>
<sst xmlns="http://schemas.openxmlformats.org/spreadsheetml/2006/main" count="759" uniqueCount="100">
  <si>
    <t>Total Questions: 30</t>
  </si>
  <si>
    <t>Difficulty Level: Medium</t>
  </si>
  <si>
    <t>Syllabus: Formulas, Logical Functions, Lookups, INDEX-MATCH, Pivot Tables &amp; Charts, Data Analysis</t>
  </si>
  <si>
    <t>Attempt all questions using appropriate Excel tools/functions.</t>
  </si>
  <si>
    <t>Order_ID</t>
  </si>
  <si>
    <t>Region</t>
  </si>
  <si>
    <t>Salesperson</t>
  </si>
  <si>
    <t>Product</t>
  </si>
  <si>
    <t>Quantity</t>
  </si>
  <si>
    <t>Unit_Price</t>
  </si>
  <si>
    <t>Sales_Date</t>
  </si>
  <si>
    <t>North</t>
  </si>
  <si>
    <t>Amit</t>
  </si>
  <si>
    <t>Laptop</t>
  </si>
  <si>
    <t>05-01-2025</t>
  </si>
  <si>
    <t>South</t>
  </si>
  <si>
    <t>Riya</t>
  </si>
  <si>
    <t>Mobile</t>
  </si>
  <si>
    <t>07-01-2025</t>
  </si>
  <si>
    <t>East</t>
  </si>
  <si>
    <t>Kunal</t>
  </si>
  <si>
    <t>Tablet</t>
  </si>
  <si>
    <t>10-01-2025</t>
  </si>
  <si>
    <t>West</t>
  </si>
  <si>
    <t>Neha</t>
  </si>
  <si>
    <t>12-01-2025</t>
  </si>
  <si>
    <t>15-01-2025</t>
  </si>
  <si>
    <t>18-01-2025</t>
  </si>
  <si>
    <t>Category</t>
  </si>
  <si>
    <t>GST_%</t>
  </si>
  <si>
    <t>Electronics</t>
  </si>
  <si>
    <t>Student_ID</t>
  </si>
  <si>
    <t>Name</t>
  </si>
  <si>
    <t>Maths</t>
  </si>
  <si>
    <t>Statistics</t>
  </si>
  <si>
    <t>Excel</t>
  </si>
  <si>
    <t>Attendance_%</t>
  </si>
  <si>
    <t>Rahul</t>
  </si>
  <si>
    <t>Sneha</t>
  </si>
  <si>
    <t>Arjun</t>
  </si>
  <si>
    <t>Pooja</t>
  </si>
  <si>
    <t>Vikas</t>
  </si>
  <si>
    <t>1. Calculate Total Sales for each order (Quantity × Unit_Price).</t>
  </si>
  <si>
    <t>2. Calculate GST Amount using VLOOKUP from Product_Master.</t>
  </si>
  <si>
    <t>3. Find Final Amount payable (Total Sales + GST).</t>
  </si>
  <si>
    <t>4. Find Grand Total of Final Amount.</t>
  </si>
  <si>
    <t>5. Count total number of orders using COUNTA.</t>
  </si>
  <si>
    <t>6. Find Region-wise total sales using SUMIF.</t>
  </si>
  <si>
    <t>7. Use IF to classify Quantity as High (&gt;3) or Low (&lt;=3).</t>
  </si>
  <si>
    <t>8. Find the maximum and minimum Final Amount.</t>
  </si>
  <si>
    <t>9. Extract month name from Sales_Date.</t>
  </si>
  <si>
    <t>10. Sort Sales_Data by Final Amount (Descending).</t>
  </si>
  <si>
    <t>11. Use INDEX-MATCH to fetch Product Category.</t>
  </si>
  <si>
    <t>12. Calculate average marks of each student.</t>
  </si>
  <si>
    <t>13. Find the topper based on average marks.</t>
  </si>
  <si>
    <t>14. Count students with Attendance above 90%.</t>
  </si>
  <si>
    <t>15. Use IF to classify students as Eligible (Attendance &gt;= 85%).</t>
  </si>
  <si>
    <t>16. Create a Pivot Table showing Product-wise Total Sales.</t>
  </si>
  <si>
    <t>17. Create a Pivot Table showing Region-wise Total Sales.</t>
  </si>
  <si>
    <t>18. Insert a Pivot Chart for Product-wise Sales.</t>
  </si>
  <si>
    <t>19. Create a Bar Chart for Student Excel marks.</t>
  </si>
  <si>
    <t>20. Find Median of Statistics marks.</t>
  </si>
  <si>
    <t>21. Find Standard Deviation of Excel marks.</t>
  </si>
  <si>
    <t>22. Use CONCAT to combine Student_ID and Name.</t>
  </si>
  <si>
    <t>23. Use LEFT function to extract first 2 letters of Salesperson name.</t>
  </si>
  <si>
    <t>24. Apply Conditional Formatting to highlight Final Amount &gt; 60000.</t>
  </si>
  <si>
    <t>25. Filter orders where Product is Laptop and Quantity &gt; 1.</t>
  </si>
  <si>
    <t>26. Use COUNTIFS to count Laptop orders in North region.</t>
  </si>
  <si>
    <t>27. Use ROUND to round Unit_Price to nearest thousand.</t>
  </si>
  <si>
    <t>28. Remove duplicate records if present.</t>
  </si>
  <si>
    <t>29. Freeze top row in Sales_Data sheet.</t>
  </si>
  <si>
    <t>30. Protect the Student_Marks sheet.</t>
  </si>
  <si>
    <t>MS Excel Practical Exam</t>
  </si>
  <si>
    <t>Total Sales</t>
  </si>
  <si>
    <t>GST%</t>
  </si>
  <si>
    <t>GST Amount</t>
  </si>
  <si>
    <t>Final Payable Amount</t>
  </si>
  <si>
    <t>4. Find Grand Total of Final Amount</t>
  </si>
  <si>
    <t>5. Count total number of orders using COUNTA</t>
  </si>
  <si>
    <t>Total number of orders</t>
  </si>
  <si>
    <t>6. Find Region-wise total sales using SUMIF</t>
  </si>
  <si>
    <t>Quantity classification</t>
  </si>
  <si>
    <t>Maximum</t>
  </si>
  <si>
    <t>Minimum</t>
  </si>
  <si>
    <t>Month name</t>
  </si>
  <si>
    <t>Average Marks</t>
  </si>
  <si>
    <t>Count students</t>
  </si>
  <si>
    <t>Classification</t>
  </si>
  <si>
    <t>CONCAT</t>
  </si>
  <si>
    <t>LEFT function</t>
  </si>
  <si>
    <t>Filter orders</t>
  </si>
  <si>
    <t>ROUND</t>
  </si>
  <si>
    <t>No duplicate records found.</t>
  </si>
  <si>
    <t>Check Sales_Data sheet for the freeze top row.</t>
  </si>
  <si>
    <t>Right click on Student_Marks sheet and then click on protect sheet</t>
  </si>
  <si>
    <t>Sales</t>
  </si>
  <si>
    <t>Row Labels</t>
  </si>
  <si>
    <t>Grand Total</t>
  </si>
  <si>
    <t>Sum of Sales</t>
  </si>
  <si>
    <t>GST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</si>
</sst>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1" fillId="2" borderId="1" xfId="0" applyFont="1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2" fontId="0" fillId="0" borderId="0" xfId="0" applyNumberFormat="1"/>
    <xf numFmtId="0" fontId="0" fillId="3" borderId="0" xfId="0" applyFill="1"/>
    <xf numFmtId="0" fontId="1" fillId="0" borderId="1" xfId="0" applyFont="1" applyBorder="1"/>
    <xf numFmtId="0" fontId="1" fillId="3" borderId="1" xfId="0" applyFont="1" applyFill="1" applyBorder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Student Excel</a:t>
            </a:r>
            <a:r>
              <a:rPr lang="en-US" baseline="0"/>
              <a:t> marks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Answers!$G$181</c:f>
              <c:strCache>
                <c:ptCount val="1"/>
                <c:pt idx="0">
                  <c:v>Excel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Answers!$D$182:$D$186</c:f>
              <c:strCache>
                <c:ptCount val="5"/>
                <c:pt idx="0">
                  <c:v>Rahul</c:v>
                </c:pt>
                <c:pt idx="1">
                  <c:v>Sneha</c:v>
                </c:pt>
                <c:pt idx="2">
                  <c:v>Arjun</c:v>
                </c:pt>
                <c:pt idx="3">
                  <c:v>Pooja</c:v>
                </c:pt>
                <c:pt idx="4">
                  <c:v>Vikas</c:v>
                </c:pt>
              </c:strCache>
            </c:strRef>
          </c:cat>
          <c:val>
            <c:numRef>
              <c:f>Answers!$G$182:$G$186</c:f>
              <c:numCache>
                <c:formatCode>General</c:formatCode>
                <c:ptCount val="5"/>
                <c:pt idx="0">
                  <c:v>85</c:v>
                </c:pt>
                <c:pt idx="1">
                  <c:v>90</c:v>
                </c:pt>
                <c:pt idx="2">
                  <c:v>72</c:v>
                </c:pt>
                <c:pt idx="3">
                  <c:v>94</c:v>
                </c:pt>
                <c:pt idx="4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42-4CE4-B57F-14A767A4FC7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999930048"/>
        <c:axId val="999930408"/>
      </c:barChart>
      <c:catAx>
        <c:axId val="99993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930408"/>
        <c:crosses val="autoZero"/>
        <c:auto val="1"/>
        <c:lblAlgn val="ctr"/>
        <c:lblOffset val="100"/>
        <c:noMultiLvlLbl val="0"/>
      </c:catAx>
      <c:valAx>
        <c:axId val="999930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930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[MS_Excel_Practical_Exam_Medium_Level.xlsx]Sheet1!PivotTable1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Product Wise Sales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7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8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09B-499B-8A23-C76B59381C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09B-499B-8A23-C76B59381C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09B-499B-8A23-C76B59381C4D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Sheet1!$A$4:$A$7</c:f>
              <c:strCache>
                <c:ptCount val="3"/>
                <c:pt idx="0">
                  <c:v>Laptop</c:v>
                </c:pt>
                <c:pt idx="1">
                  <c:v>Mobile</c:v>
                </c:pt>
                <c:pt idx="2">
                  <c:v>Tablet</c:v>
                </c:pt>
              </c:strCache>
            </c:strRef>
          </c:cat>
          <c:val>
            <c:numRef>
              <c:f>Sheet1!$B$4:$B$7</c:f>
              <c:numCache>
                <c:formatCode>General</c:formatCode>
                <c:ptCount val="3"/>
                <c:pt idx="0">
                  <c:v>225000</c:v>
                </c:pt>
                <c:pt idx="1">
                  <c:v>135000</c:v>
                </c:pt>
                <c:pt idx="2">
                  <c:v>54000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09B-499B-8A23-C76B59381C4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[MS_Excel_Practical_Exam_Medium_Level.xlsx]Sheet1!PivotTable2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Region</a:t>
            </a:r>
            <a:r>
              <a:rPr lang="en-IN" baseline="0"/>
              <a:t> Wise Sales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Sheet1!$E$3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Sheet1!$D$4:$D$8</c:f>
              <c:strCache>
                <c:ptCount val="4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Sheet1!$E$4:$E$8</c:f>
              <c:numCache>
                <c:formatCode>General</c:formatCode>
                <c:ptCount val="4"/>
                <c:pt idx="0">
                  <c:v>54000</c:v>
                </c:pt>
                <c:pt idx="1">
                  <c:v>150000</c:v>
                </c:pt>
                <c:pt idx="2">
                  <c:v>165000</c:v>
                </c:pt>
                <c:pt idx="3">
                  <c:v>45000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9B-4074-9204-56496E91E26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466401759"/>
        <c:axId val="466400511"/>
      </c:barChart>
      <c:catAx>
        <c:axId val="46640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400511"/>
        <c:crosses val="autoZero"/>
        <c:auto val="1"/>
        <c:lblAlgn val="ctr"/>
        <c:lblOffset val="100"/>
        <c:noMultiLvlLbl val="0"/>
      </c:catAx>
      <c:valAx>
        <c:axId val="466400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40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457200</xdr:colOff>
      <xdr:row>177</xdr:row>
      <xdr:rowOff>176212</xdr:rowOff>
    </xdr:from>
    <xdr:to>
      <xdr:col>13</xdr:col>
      <xdr:colOff>171450</xdr:colOff>
      <xdr:row>191</xdr:row>
      <xdr:rowOff>61912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589852-CE91-FF11-D1A9-02F62130D5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311</xdr:row>
      <xdr:rowOff>0</xdr:rowOff>
    </xdr:from>
    <xdr:to>
      <xdr:col>21</xdr:col>
      <xdr:colOff>583576</xdr:colOff>
      <xdr:row>361</xdr:row>
      <xdr:rowOff>144224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D1F34FA-9767-FE0D-DA07-A192F5B0F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4579500"/>
          <a:ext cx="18281026" cy="966922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1</xdr:col>
      <xdr:colOff>543316</xdr:colOff>
      <xdr:row>384</xdr:row>
      <xdr:rowOff>57716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AE4A019-1A96-B316-29ED-8942EA433B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4485500"/>
          <a:ext cx="2800741" cy="4058216"/>
        </a:xfrm>
        <a:prstGeom prst="rect">
          <a:avLst/>
        </a:prstGeom>
      </xdr:spPr>
    </xdr:pic>
    <xdr:clientData/>
  </xdr:twoCellAnchor>
  <xdr:twoCellAnchor>
    <xdr:from>
      <xdr:col>1</xdr:col>
      <xdr:colOff>733426</xdr:colOff>
      <xdr:row>166</xdr:row>
      <xdr:rowOff>114300</xdr:rowOff>
    </xdr:from>
    <xdr:to>
      <xdr:col>7</xdr:col>
      <xdr:colOff>666751</xdr:colOff>
      <xdr:row>177</xdr:row>
      <xdr:rowOff>180976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E524675-925F-4291-8CDA-43A00B2696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238126</xdr:colOff>
      <xdr:row>154</xdr:row>
      <xdr:rowOff>171450</xdr:rowOff>
    </xdr:from>
    <xdr:to>
      <xdr:col>8</xdr:col>
      <xdr:colOff>704850</xdr:colOff>
      <xdr:row>166</xdr:row>
      <xdr:rowOff>19050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F65CF22-6BB4-469A-A324-8284DDFAB9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DC4" refreshedDate="46222.622338657406" createdVersion="8" refreshedVersion="8" minRefreshableVersion="3" recordCount="6" xr:uid="{43509E3F-D0C0-462D-AF0B-132182489D67}">
  <cacheSource type="worksheet">
    <worksheetSource ref="A1:H7" sheet="Sales_Data"/>
  </cacheSource>
  <cacheFields count="8">
    <cacheField name="Order_ID" numFmtId="0">
      <sharedItems containsSemiMixedTypes="0" containsString="0" containsNumber="1" containsInteger="1" minValue="301" maxValue="306"/>
    </cacheField>
    <cacheField name="Region" numFmtId="0">
      <sharedItems count="4">
        <s v="North"/>
        <s v="South"/>
        <s v="East"/>
        <s v="West"/>
      </sharedItems>
    </cacheField>
    <cacheField name="Salesperson" numFmtId="0">
      <sharedItems/>
    </cacheField>
    <cacheField name="Product" numFmtId="0">
      <sharedItems count="3">
        <s v="Laptop"/>
        <s v="Mobile"/>
        <s v="Tablet"/>
      </sharedItems>
    </cacheField>
    <cacheField name="Quantity" numFmtId="0">
      <sharedItems containsSemiMixedTypes="0" containsString="0" containsNumber="1" containsInteger="1" minValue="1" maxValue="5"/>
    </cacheField>
    <cacheField name="Unit_Price" numFmtId="0">
      <sharedItems containsSemiMixedTypes="0" containsString="0" containsNumber="1" containsInteger="1" minValue="15000" maxValue="45000"/>
    </cacheField>
    <cacheField name="Sales_Date" numFmtId="0">
      <sharedItems/>
    </cacheField>
    <cacheField name="Sales" numFmtId="0">
      <sharedItems containsSemiMixedTypes="0" containsString="0" containsNumber="1" containsInteger="1" minValue="45000" maxValue="9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n v="301"/>
    <x v="0"/>
    <s v="Amit"/>
    <x v="0"/>
    <n v="2"/>
    <n v="45000"/>
    <s v="05-01-2025"/>
    <n v="90000"/>
  </r>
  <r>
    <n v="302"/>
    <x v="1"/>
    <s v="Riya"/>
    <x v="1"/>
    <n v="5"/>
    <n v="15000"/>
    <s v="07-01-2025"/>
    <n v="75000"/>
  </r>
  <r>
    <n v="303"/>
    <x v="2"/>
    <s v="Kunal"/>
    <x v="2"/>
    <n v="3"/>
    <n v="18000"/>
    <s v="10-01-2025"/>
    <n v="54000"/>
  </r>
  <r>
    <n v="304"/>
    <x v="3"/>
    <s v="Neha"/>
    <x v="0"/>
    <n v="1"/>
    <n v="45000"/>
    <s v="12-01-2025"/>
    <n v="45000"/>
  </r>
  <r>
    <n v="305"/>
    <x v="0"/>
    <s v="Amit"/>
    <x v="1"/>
    <n v="4"/>
    <n v="15000"/>
    <s v="15-01-2025"/>
    <n v="60000"/>
  </r>
  <r>
    <n v="306"/>
    <x v="1"/>
    <s v="Riya"/>
    <x v="0"/>
    <n v="2"/>
    <n v="45000"/>
    <s v="18-01-2025"/>
    <n v="9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F1EA69-164D-4F64-A366-D1B7C56B6A8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D3:E8" firstHeaderRow="1" firstDataRow="1" firstDataCol="1"/>
  <pivotFields count="8"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7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9E2D21-9670-4464-A076-A0ACAEA4686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7" firstHeaderRow="1" firstDataRow="1" firstDataCol="1"/>
  <pivotFields count="8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7" baseField="0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132425-F922-47B1-B691-4E65BCE9237B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Product">
  <location ref="B149:C153" firstHeaderRow="1" firstDataRow="1" firstDataCol="1"/>
  <pivotFields count="8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7" baseField="0" baseItem="0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workbookViewId="0">
      <selection activeCell="I13" sqref="I13"/>
    </sheetView>
  </sheetViews>
  <sheetFormatPr defaultRowHeight="14.4" x14ac:dyDescent="0.3"/>
  <sheetData>
    <row r="1" spans="1:1" x14ac:dyDescent="0.3">
      <c r="A1" t="s">
        <v>72</v>
      </c>
    </row>
    <row r="2" spans="1:1" x14ac:dyDescent="0.3">
      <c r="A2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5" spans="1:1" x14ac:dyDescent="0.3">
      <c r="A5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69330-5647-4659-B230-2AA33D24DA62}">
  <dimension ref="A3:E8"/>
  <sheetViews>
    <sheetView workbookViewId="0">
      <selection activeCell="A3" sqref="A3:B7"/>
    </sheetView>
  </sheetViews>
  <sheetFormatPr defaultRowHeight="14.4" x14ac:dyDescent="0.3"/>
  <cols>
    <col min="1" max="1" width="13.109375" bestFit="1" customWidth="1"/>
    <col min="2" max="2" width="12.109375" bestFit="1" customWidth="1"/>
    <col min="4" max="4" width="13.109375" bestFit="1" customWidth="1"/>
    <col min="5" max="5" width="12.109375" bestFit="1" customWidth="1"/>
  </cols>
  <sheetData>
    <row r="3" spans="1:5" x14ac:dyDescent="0.3">
      <c r="A3" s="11" t="s">
        <v>96</v>
      </c>
      <c r="B3" t="s">
        <v>98</v>
      </c>
      <c r="D3" s="11" t="s">
        <v>96</v>
      </c>
      <c r="E3" t="s">
        <v>98</v>
      </c>
    </row>
    <row r="4" spans="1:5" x14ac:dyDescent="0.3">
      <c r="A4" s="12" t="s">
        <v>13</v>
      </c>
      <c r="B4">
        <v>225000</v>
      </c>
      <c r="D4" s="12" t="s">
        <v>19</v>
      </c>
      <c r="E4">
        <v>54000</v>
      </c>
    </row>
    <row r="5" spans="1:5" x14ac:dyDescent="0.3">
      <c r="A5" s="12" t="s">
        <v>17</v>
      </c>
      <c r="B5">
        <v>135000</v>
      </c>
      <c r="D5" s="12" t="s">
        <v>11</v>
      </c>
      <c r="E5">
        <v>150000</v>
      </c>
    </row>
    <row r="6" spans="1:5" x14ac:dyDescent="0.3">
      <c r="A6" s="12" t="s">
        <v>21</v>
      </c>
      <c r="B6">
        <v>54000</v>
      </c>
      <c r="D6" s="12" t="s">
        <v>15</v>
      </c>
      <c r="E6">
        <v>165000</v>
      </c>
    </row>
    <row r="7" spans="1:5" x14ac:dyDescent="0.3">
      <c r="A7" s="12" t="s">
        <v>97</v>
      </c>
      <c r="B7">
        <v>414000</v>
      </c>
      <c r="D7" s="12" t="s">
        <v>23</v>
      </c>
      <c r="E7">
        <v>45000</v>
      </c>
    </row>
    <row r="8" spans="1:5" x14ac:dyDescent="0.3">
      <c r="D8" s="12" t="s">
        <v>97</v>
      </c>
      <c r="E8">
        <v>414000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>
      <pane ySplit="1" topLeftCell="A2" activePane="bottomLeft" state="frozen"/>
      <selection pane="bottomLeft" activeCell="F2" sqref="F2"/>
    </sheetView>
  </sheetViews>
  <sheetFormatPr defaultRowHeight="14.4" x14ac:dyDescent="0.3"/>
  <cols>
    <col min="3" max="3" width="11.6640625" bestFit="1" customWidth="1"/>
    <col min="4" max="4" width="7.88671875" bestFit="1" customWidth="1"/>
    <col min="5" max="5" width="8.6640625" bestFit="1" customWidth="1"/>
    <col min="6" max="6" width="10.109375" bestFit="1" customWidth="1"/>
    <col min="7" max="7" width="10.6640625" bestFit="1" customWidth="1"/>
  </cols>
  <sheetData>
    <row r="1" spans="1:8" x14ac:dyDescent="0.3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95</v>
      </c>
    </row>
    <row r="2" spans="1:8" x14ac:dyDescent="0.3">
      <c r="A2">
        <v>301</v>
      </c>
      <c r="B2" t="s">
        <v>11</v>
      </c>
      <c r="C2" t="s">
        <v>12</v>
      </c>
      <c r="D2" t="s">
        <v>13</v>
      </c>
      <c r="E2">
        <v>2</v>
      </c>
      <c r="F2">
        <v>45000</v>
      </c>
      <c r="G2" t="s">
        <v>14</v>
      </c>
      <c r="H2">
        <f>F2*E2</f>
        <v>90000</v>
      </c>
    </row>
    <row r="3" spans="1:8" x14ac:dyDescent="0.3">
      <c r="A3">
        <v>302</v>
      </c>
      <c r="B3" t="s">
        <v>15</v>
      </c>
      <c r="C3" t="s">
        <v>16</v>
      </c>
      <c r="D3" t="s">
        <v>17</v>
      </c>
      <c r="E3">
        <v>5</v>
      </c>
      <c r="F3">
        <v>15000</v>
      </c>
      <c r="G3" t="s">
        <v>18</v>
      </c>
      <c r="H3">
        <f t="shared" ref="H3:H7" si="0">F3*E3</f>
        <v>75000</v>
      </c>
    </row>
    <row r="4" spans="1:8" x14ac:dyDescent="0.3">
      <c r="A4">
        <v>303</v>
      </c>
      <c r="B4" t="s">
        <v>19</v>
      </c>
      <c r="C4" t="s">
        <v>20</v>
      </c>
      <c r="D4" t="s">
        <v>21</v>
      </c>
      <c r="E4">
        <v>3</v>
      </c>
      <c r="F4">
        <v>18000</v>
      </c>
      <c r="G4" t="s">
        <v>22</v>
      </c>
      <c r="H4">
        <f t="shared" si="0"/>
        <v>54000</v>
      </c>
    </row>
    <row r="5" spans="1:8" x14ac:dyDescent="0.3">
      <c r="A5">
        <v>304</v>
      </c>
      <c r="B5" t="s">
        <v>23</v>
      </c>
      <c r="C5" t="s">
        <v>24</v>
      </c>
      <c r="D5" t="s">
        <v>13</v>
      </c>
      <c r="E5">
        <v>1</v>
      </c>
      <c r="F5">
        <v>45000</v>
      </c>
      <c r="G5" t="s">
        <v>25</v>
      </c>
      <c r="H5">
        <f t="shared" si="0"/>
        <v>45000</v>
      </c>
    </row>
    <row r="6" spans="1:8" x14ac:dyDescent="0.3">
      <c r="A6">
        <v>305</v>
      </c>
      <c r="B6" t="s">
        <v>11</v>
      </c>
      <c r="C6" t="s">
        <v>12</v>
      </c>
      <c r="D6" t="s">
        <v>17</v>
      </c>
      <c r="E6">
        <v>4</v>
      </c>
      <c r="F6">
        <v>15000</v>
      </c>
      <c r="G6" t="s">
        <v>26</v>
      </c>
      <c r="H6">
        <f t="shared" si="0"/>
        <v>60000</v>
      </c>
    </row>
    <row r="7" spans="1:8" x14ac:dyDescent="0.3">
      <c r="A7">
        <v>306</v>
      </c>
      <c r="B7" t="s">
        <v>15</v>
      </c>
      <c r="C7" t="s">
        <v>16</v>
      </c>
      <c r="D7" t="s">
        <v>13</v>
      </c>
      <c r="E7">
        <v>2</v>
      </c>
      <c r="F7">
        <v>45000</v>
      </c>
      <c r="G7" t="s">
        <v>27</v>
      </c>
      <c r="H7">
        <f t="shared" si="0"/>
        <v>90000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sqref="A1:C4"/>
    </sheetView>
  </sheetViews>
  <sheetFormatPr defaultRowHeight="14.4" x14ac:dyDescent="0.3"/>
  <cols>
    <col min="2" max="2" width="10.5546875" bestFit="1" customWidth="1"/>
    <col min="3" max="3" width="6.88671875" bestFit="1" customWidth="1"/>
  </cols>
  <sheetData>
    <row r="1" spans="1:3" x14ac:dyDescent="0.3">
      <c r="A1" t="s">
        <v>7</v>
      </c>
      <c r="B1" t="s">
        <v>28</v>
      </c>
      <c r="C1" t="s">
        <v>29</v>
      </c>
    </row>
    <row r="2" spans="1:3" x14ac:dyDescent="0.3">
      <c r="A2" t="s">
        <v>13</v>
      </c>
      <c r="B2" t="s">
        <v>30</v>
      </c>
      <c r="C2">
        <v>18</v>
      </c>
    </row>
    <row r="3" spans="1:3" x14ac:dyDescent="0.3">
      <c r="A3" t="s">
        <v>17</v>
      </c>
      <c r="B3" t="s">
        <v>30</v>
      </c>
      <c r="C3">
        <v>12</v>
      </c>
    </row>
    <row r="4" spans="1:3" x14ac:dyDescent="0.3">
      <c r="A4" t="s">
        <v>21</v>
      </c>
      <c r="B4" t="s">
        <v>30</v>
      </c>
      <c r="C4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selection sqref="A1:F6"/>
    </sheetView>
  </sheetViews>
  <sheetFormatPr defaultRowHeight="14.4" x14ac:dyDescent="0.3"/>
  <cols>
    <col min="1" max="1" width="10.88671875" bestFit="1" customWidth="1"/>
    <col min="2" max="3" width="6.44140625" bestFit="1" customWidth="1"/>
    <col min="4" max="4" width="8.88671875" bestFit="1" customWidth="1"/>
    <col min="5" max="5" width="5.5546875" bestFit="1" customWidth="1"/>
    <col min="6" max="6" width="14" bestFit="1" customWidth="1"/>
  </cols>
  <sheetData>
    <row r="1" spans="1:6" x14ac:dyDescent="0.3">
      <c r="A1" t="s">
        <v>31</v>
      </c>
      <c r="B1" t="s">
        <v>32</v>
      </c>
      <c r="C1" t="s">
        <v>33</v>
      </c>
      <c r="D1" t="s">
        <v>34</v>
      </c>
      <c r="E1" t="s">
        <v>35</v>
      </c>
      <c r="F1" t="s">
        <v>36</v>
      </c>
    </row>
    <row r="2" spans="1:6" x14ac:dyDescent="0.3">
      <c r="A2">
        <v>1</v>
      </c>
      <c r="B2" t="s">
        <v>37</v>
      </c>
      <c r="C2">
        <v>78</v>
      </c>
      <c r="D2">
        <v>82</v>
      </c>
      <c r="E2">
        <v>85</v>
      </c>
      <c r="F2">
        <v>92</v>
      </c>
    </row>
    <row r="3" spans="1:6" x14ac:dyDescent="0.3">
      <c r="A3">
        <v>2</v>
      </c>
      <c r="B3" t="s">
        <v>38</v>
      </c>
      <c r="C3">
        <v>88</v>
      </c>
      <c r="D3">
        <v>91</v>
      </c>
      <c r="E3">
        <v>90</v>
      </c>
      <c r="F3">
        <v>96</v>
      </c>
    </row>
    <row r="4" spans="1:6" x14ac:dyDescent="0.3">
      <c r="A4">
        <v>3</v>
      </c>
      <c r="B4" t="s">
        <v>39</v>
      </c>
      <c r="C4">
        <v>65</v>
      </c>
      <c r="D4">
        <v>70</v>
      </c>
      <c r="E4">
        <v>72</v>
      </c>
      <c r="F4">
        <v>85</v>
      </c>
    </row>
    <row r="5" spans="1:6" x14ac:dyDescent="0.3">
      <c r="A5">
        <v>4</v>
      </c>
      <c r="B5" t="s">
        <v>40</v>
      </c>
      <c r="C5">
        <v>92</v>
      </c>
      <c r="D5">
        <v>89</v>
      </c>
      <c r="E5">
        <v>94</v>
      </c>
      <c r="F5">
        <v>98</v>
      </c>
    </row>
    <row r="6" spans="1:6" x14ac:dyDescent="0.3">
      <c r="A6">
        <v>5</v>
      </c>
      <c r="B6" t="s">
        <v>41</v>
      </c>
      <c r="C6">
        <v>55</v>
      </c>
      <c r="D6">
        <v>60</v>
      </c>
      <c r="E6">
        <v>58</v>
      </c>
      <c r="F6">
        <v>80</v>
      </c>
    </row>
  </sheetData>
  <sheetProtection algorithmName="SHA-512" hashValue="2OemCFrEHyDKftp/za1lS8TtAcw3soI24F0YCZa5ZGDV7tkUqTy7NBjx/YaIXqf76n95b7adN7EHwGflAgBjLQ==" saltValue="mzyxL0APL9zbt4TiQ/DNkw==" spinCount="100000" sheet="1" objects="1" scenarios="1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2"/>
  <sheetViews>
    <sheetView workbookViewId="0">
      <selection activeCell="A11" sqref="A11"/>
    </sheetView>
  </sheetViews>
  <sheetFormatPr defaultRowHeight="14.4" x14ac:dyDescent="0.3"/>
  <sheetData>
    <row r="1" spans="1:10" x14ac:dyDescent="0.3">
      <c r="A1" t="s">
        <v>42</v>
      </c>
      <c r="J1">
        <v>2</v>
      </c>
    </row>
    <row r="2" spans="1:10" x14ac:dyDescent="0.3">
      <c r="A2" t="s">
        <v>43</v>
      </c>
      <c r="J2">
        <v>2</v>
      </c>
    </row>
    <row r="3" spans="1:10" x14ac:dyDescent="0.3">
      <c r="A3" t="s">
        <v>44</v>
      </c>
      <c r="J3">
        <v>2</v>
      </c>
    </row>
    <row r="4" spans="1:10" x14ac:dyDescent="0.3">
      <c r="A4" t="s">
        <v>45</v>
      </c>
      <c r="J4">
        <v>2</v>
      </c>
    </row>
    <row r="5" spans="1:10" x14ac:dyDescent="0.3">
      <c r="A5" t="s">
        <v>46</v>
      </c>
      <c r="J5">
        <v>2</v>
      </c>
    </row>
    <row r="6" spans="1:10" x14ac:dyDescent="0.3">
      <c r="A6" t="s">
        <v>47</v>
      </c>
      <c r="J6">
        <v>2</v>
      </c>
    </row>
    <row r="7" spans="1:10" x14ac:dyDescent="0.3">
      <c r="A7" t="s">
        <v>48</v>
      </c>
      <c r="J7">
        <v>2</v>
      </c>
    </row>
    <row r="8" spans="1:10" x14ac:dyDescent="0.3">
      <c r="A8" t="s">
        <v>49</v>
      </c>
      <c r="J8">
        <v>2</v>
      </c>
    </row>
    <row r="9" spans="1:10" x14ac:dyDescent="0.3">
      <c r="A9" t="s">
        <v>50</v>
      </c>
      <c r="J9">
        <v>2</v>
      </c>
    </row>
    <row r="10" spans="1:10" x14ac:dyDescent="0.3">
      <c r="A10" t="s">
        <v>51</v>
      </c>
      <c r="J10">
        <v>2</v>
      </c>
    </row>
    <row r="11" spans="1:10" x14ac:dyDescent="0.3">
      <c r="A11" t="s">
        <v>52</v>
      </c>
      <c r="J11">
        <v>2</v>
      </c>
    </row>
    <row r="12" spans="1:10" x14ac:dyDescent="0.3">
      <c r="A12" t="s">
        <v>53</v>
      </c>
      <c r="J12">
        <v>2</v>
      </c>
    </row>
    <row r="13" spans="1:10" x14ac:dyDescent="0.3">
      <c r="A13" t="s">
        <v>54</v>
      </c>
      <c r="J13">
        <v>2</v>
      </c>
    </row>
    <row r="14" spans="1:10" x14ac:dyDescent="0.3">
      <c r="A14" t="s">
        <v>55</v>
      </c>
      <c r="J14">
        <v>2</v>
      </c>
    </row>
    <row r="15" spans="1:10" x14ac:dyDescent="0.3">
      <c r="A15" t="s">
        <v>56</v>
      </c>
      <c r="J15">
        <v>2</v>
      </c>
    </row>
    <row r="16" spans="1:10" x14ac:dyDescent="0.3">
      <c r="A16" t="s">
        <v>57</v>
      </c>
      <c r="J16">
        <v>2</v>
      </c>
    </row>
    <row r="17" spans="1:10" x14ac:dyDescent="0.3">
      <c r="A17" t="s">
        <v>58</v>
      </c>
      <c r="J17">
        <v>2</v>
      </c>
    </row>
    <row r="18" spans="1:10" x14ac:dyDescent="0.3">
      <c r="A18" t="s">
        <v>59</v>
      </c>
      <c r="J18">
        <v>2</v>
      </c>
    </row>
    <row r="19" spans="1:10" x14ac:dyDescent="0.3">
      <c r="A19" t="s">
        <v>60</v>
      </c>
      <c r="J19">
        <v>2</v>
      </c>
    </row>
    <row r="20" spans="1:10" x14ac:dyDescent="0.3">
      <c r="A20" t="s">
        <v>61</v>
      </c>
      <c r="J20">
        <v>2</v>
      </c>
    </row>
    <row r="21" spans="1:10" x14ac:dyDescent="0.3">
      <c r="A21" t="s">
        <v>62</v>
      </c>
      <c r="J21">
        <v>2</v>
      </c>
    </row>
    <row r="22" spans="1:10" x14ac:dyDescent="0.3">
      <c r="A22" t="s">
        <v>63</v>
      </c>
      <c r="J22">
        <v>2</v>
      </c>
    </row>
    <row r="23" spans="1:10" x14ac:dyDescent="0.3">
      <c r="A23" t="s">
        <v>64</v>
      </c>
      <c r="J23">
        <v>2</v>
      </c>
    </row>
    <row r="24" spans="1:10" x14ac:dyDescent="0.3">
      <c r="A24" t="s">
        <v>65</v>
      </c>
      <c r="J24">
        <v>2</v>
      </c>
    </row>
    <row r="25" spans="1:10" x14ac:dyDescent="0.3">
      <c r="A25" t="s">
        <v>66</v>
      </c>
      <c r="J25">
        <v>2</v>
      </c>
    </row>
    <row r="26" spans="1:10" x14ac:dyDescent="0.3">
      <c r="A26" t="s">
        <v>67</v>
      </c>
      <c r="J26">
        <v>2</v>
      </c>
    </row>
    <row r="27" spans="1:10" x14ac:dyDescent="0.3">
      <c r="A27" t="s">
        <v>68</v>
      </c>
      <c r="J27">
        <v>2</v>
      </c>
    </row>
    <row r="28" spans="1:10" x14ac:dyDescent="0.3">
      <c r="A28" t="s">
        <v>69</v>
      </c>
      <c r="J28">
        <v>2</v>
      </c>
    </row>
    <row r="29" spans="1:10" x14ac:dyDescent="0.3">
      <c r="A29" t="s">
        <v>70</v>
      </c>
      <c r="J29">
        <v>2</v>
      </c>
    </row>
    <row r="30" spans="1:10" x14ac:dyDescent="0.3">
      <c r="A30" t="s">
        <v>71</v>
      </c>
      <c r="J30">
        <v>2</v>
      </c>
    </row>
    <row r="32" spans="1:10" x14ac:dyDescent="0.3">
      <c r="J32">
        <f>SUM(J1:J30)</f>
        <v>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C3CB7-C73E-4127-A586-F14C711890B8}">
  <dimension ref="A1:M310"/>
  <sheetViews>
    <sheetView tabSelected="1" topLeftCell="A91" workbookViewId="0">
      <selection activeCell="F106" sqref="F106"/>
    </sheetView>
  </sheetViews>
  <sheetFormatPr defaultRowHeight="14.4" x14ac:dyDescent="0.3"/>
  <cols>
    <col min="1" max="1" width="33.88671875" style="1" customWidth="1"/>
    <col min="2" max="2" width="14.5546875" bestFit="1" customWidth="1"/>
    <col min="3" max="3" width="13" customWidth="1"/>
    <col min="4" max="4" width="11.6640625" bestFit="1" customWidth="1"/>
    <col min="5" max="5" width="8.88671875" bestFit="1" customWidth="1"/>
    <col min="6" max="6" width="8.6640625" bestFit="1" customWidth="1"/>
    <col min="7" max="7" width="14" bestFit="1" customWidth="1"/>
    <col min="8" max="8" width="14.6640625" bestFit="1" customWidth="1"/>
    <col min="9" max="9" width="20.88671875" bestFit="1" customWidth="1"/>
    <col min="11" max="11" width="11.88671875" bestFit="1" customWidth="1"/>
    <col min="12" max="12" width="20.5546875" bestFit="1" customWidth="1"/>
    <col min="13" max="13" width="10.44140625" bestFit="1" customWidth="1"/>
  </cols>
  <sheetData>
    <row r="1" spans="1:11" ht="28.8" x14ac:dyDescent="0.3">
      <c r="A1" s="1" t="s">
        <v>42</v>
      </c>
    </row>
    <row r="3" spans="1:11" x14ac:dyDescent="0.3"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s="2" t="s">
        <v>73</v>
      </c>
    </row>
    <row r="4" spans="1:11" x14ac:dyDescent="0.3">
      <c r="B4">
        <v>301</v>
      </c>
      <c r="C4" t="s">
        <v>11</v>
      </c>
      <c r="D4" t="s">
        <v>12</v>
      </c>
      <c r="E4" t="s">
        <v>13</v>
      </c>
      <c r="F4">
        <v>2</v>
      </c>
      <c r="G4">
        <v>45000</v>
      </c>
      <c r="H4" t="s">
        <v>14</v>
      </c>
      <c r="I4">
        <f>F4*G4</f>
        <v>90000</v>
      </c>
    </row>
    <row r="5" spans="1:11" x14ac:dyDescent="0.3">
      <c r="B5">
        <v>302</v>
      </c>
      <c r="C5" t="s">
        <v>15</v>
      </c>
      <c r="D5" t="s">
        <v>16</v>
      </c>
      <c r="E5" t="s">
        <v>17</v>
      </c>
      <c r="F5">
        <v>5</v>
      </c>
      <c r="G5">
        <v>15000</v>
      </c>
      <c r="H5" t="s">
        <v>18</v>
      </c>
      <c r="I5">
        <f t="shared" ref="I5:I9" si="0">F5*G5</f>
        <v>75000</v>
      </c>
    </row>
    <row r="6" spans="1:11" x14ac:dyDescent="0.3">
      <c r="B6">
        <v>303</v>
      </c>
      <c r="C6" t="s">
        <v>19</v>
      </c>
      <c r="D6" t="s">
        <v>20</v>
      </c>
      <c r="E6" t="s">
        <v>21</v>
      </c>
      <c r="F6">
        <v>3</v>
      </c>
      <c r="G6">
        <v>18000</v>
      </c>
      <c r="H6" t="s">
        <v>22</v>
      </c>
      <c r="I6">
        <f t="shared" si="0"/>
        <v>54000</v>
      </c>
    </row>
    <row r="7" spans="1:11" x14ac:dyDescent="0.3">
      <c r="B7">
        <v>304</v>
      </c>
      <c r="C7" t="s">
        <v>23</v>
      </c>
      <c r="D7" t="s">
        <v>24</v>
      </c>
      <c r="E7" t="s">
        <v>13</v>
      </c>
      <c r="F7">
        <v>1</v>
      </c>
      <c r="G7">
        <v>45000</v>
      </c>
      <c r="H7" t="s">
        <v>25</v>
      </c>
      <c r="I7">
        <f t="shared" si="0"/>
        <v>45000</v>
      </c>
    </row>
    <row r="8" spans="1:11" x14ac:dyDescent="0.3">
      <c r="B8">
        <v>305</v>
      </c>
      <c r="C8" t="s">
        <v>11</v>
      </c>
      <c r="D8" t="s">
        <v>12</v>
      </c>
      <c r="E8" t="s">
        <v>17</v>
      </c>
      <c r="F8">
        <v>4</v>
      </c>
      <c r="G8">
        <v>15000</v>
      </c>
      <c r="H8" t="s">
        <v>26</v>
      </c>
      <c r="I8">
        <f t="shared" si="0"/>
        <v>60000</v>
      </c>
    </row>
    <row r="9" spans="1:11" x14ac:dyDescent="0.3">
      <c r="B9">
        <v>306</v>
      </c>
      <c r="C9" t="s">
        <v>15</v>
      </c>
      <c r="D9" t="s">
        <v>16</v>
      </c>
      <c r="E9" t="s">
        <v>13</v>
      </c>
      <c r="F9">
        <v>2</v>
      </c>
      <c r="G9">
        <v>45000</v>
      </c>
      <c r="H9" t="s">
        <v>27</v>
      </c>
      <c r="I9">
        <f t="shared" si="0"/>
        <v>90000</v>
      </c>
    </row>
    <row r="11" spans="1:11" ht="28.8" x14ac:dyDescent="0.3">
      <c r="A11" s="1" t="s">
        <v>43</v>
      </c>
    </row>
    <row r="13" spans="1:11" x14ac:dyDescent="0.3">
      <c r="B13" t="s">
        <v>4</v>
      </c>
      <c r="C13" t="s">
        <v>5</v>
      </c>
      <c r="D13" t="s">
        <v>6</v>
      </c>
      <c r="E13" t="s">
        <v>7</v>
      </c>
      <c r="F13" t="s">
        <v>8</v>
      </c>
      <c r="G13" t="s">
        <v>9</v>
      </c>
      <c r="H13" t="s">
        <v>10</v>
      </c>
      <c r="I13" t="s">
        <v>73</v>
      </c>
      <c r="J13" t="s">
        <v>74</v>
      </c>
      <c r="K13" s="2" t="s">
        <v>75</v>
      </c>
    </row>
    <row r="14" spans="1:11" x14ac:dyDescent="0.3">
      <c r="B14">
        <v>301</v>
      </c>
      <c r="C14" t="s">
        <v>11</v>
      </c>
      <c r="D14" t="s">
        <v>12</v>
      </c>
      <c r="E14" t="s">
        <v>13</v>
      </c>
      <c r="F14">
        <v>2</v>
      </c>
      <c r="G14">
        <v>45000</v>
      </c>
      <c r="H14" t="s">
        <v>14</v>
      </c>
      <c r="I14">
        <f>F14*G14</f>
        <v>90000</v>
      </c>
      <c r="J14">
        <f>VLOOKUP(E14,Product_Master!A:C,3,0)</f>
        <v>18</v>
      </c>
      <c r="K14">
        <f>I14*J14/100</f>
        <v>16200</v>
      </c>
    </row>
    <row r="15" spans="1:11" x14ac:dyDescent="0.3">
      <c r="B15">
        <v>302</v>
      </c>
      <c r="C15" t="s">
        <v>15</v>
      </c>
      <c r="D15" t="s">
        <v>16</v>
      </c>
      <c r="E15" t="s">
        <v>17</v>
      </c>
      <c r="F15">
        <v>5</v>
      </c>
      <c r="G15">
        <v>15000</v>
      </c>
      <c r="H15" t="s">
        <v>18</v>
      </c>
      <c r="I15">
        <f t="shared" ref="I15:I19" si="1">F15*G15</f>
        <v>75000</v>
      </c>
      <c r="J15">
        <f>VLOOKUP(E15,Product_Master!A:C,3,0)</f>
        <v>12</v>
      </c>
      <c r="K15">
        <f t="shared" ref="K15:K19" si="2">I15*J15/100</f>
        <v>9000</v>
      </c>
    </row>
    <row r="16" spans="1:11" x14ac:dyDescent="0.3">
      <c r="B16">
        <v>303</v>
      </c>
      <c r="C16" t="s">
        <v>19</v>
      </c>
      <c r="D16" t="s">
        <v>20</v>
      </c>
      <c r="E16" t="s">
        <v>21</v>
      </c>
      <c r="F16">
        <v>3</v>
      </c>
      <c r="G16">
        <v>18000</v>
      </c>
      <c r="H16" t="s">
        <v>22</v>
      </c>
      <c r="I16">
        <f t="shared" si="1"/>
        <v>54000</v>
      </c>
      <c r="J16">
        <f>VLOOKUP(E16,Product_Master!A:C,3,0)</f>
        <v>12</v>
      </c>
      <c r="K16">
        <f t="shared" si="2"/>
        <v>6480</v>
      </c>
    </row>
    <row r="17" spans="1:12" x14ac:dyDescent="0.3">
      <c r="B17">
        <v>304</v>
      </c>
      <c r="C17" t="s">
        <v>23</v>
      </c>
      <c r="D17" t="s">
        <v>24</v>
      </c>
      <c r="E17" t="s">
        <v>13</v>
      </c>
      <c r="F17">
        <v>1</v>
      </c>
      <c r="G17">
        <v>45000</v>
      </c>
      <c r="H17" t="s">
        <v>25</v>
      </c>
      <c r="I17">
        <f t="shared" si="1"/>
        <v>45000</v>
      </c>
      <c r="J17">
        <f>VLOOKUP(E17,Product_Master!A:C,3,0)</f>
        <v>18</v>
      </c>
      <c r="K17">
        <f t="shared" si="2"/>
        <v>8100</v>
      </c>
    </row>
    <row r="18" spans="1:12" x14ac:dyDescent="0.3">
      <c r="B18">
        <v>305</v>
      </c>
      <c r="C18" t="s">
        <v>11</v>
      </c>
      <c r="D18" t="s">
        <v>12</v>
      </c>
      <c r="E18" t="s">
        <v>17</v>
      </c>
      <c r="F18">
        <v>4</v>
      </c>
      <c r="G18">
        <v>15000</v>
      </c>
      <c r="H18" t="s">
        <v>26</v>
      </c>
      <c r="I18">
        <f t="shared" si="1"/>
        <v>60000</v>
      </c>
      <c r="J18">
        <f>VLOOKUP(E18,Product_Master!A:C,3,0)</f>
        <v>12</v>
      </c>
      <c r="K18">
        <f t="shared" si="2"/>
        <v>7200</v>
      </c>
    </row>
    <row r="19" spans="1:12" x14ac:dyDescent="0.3">
      <c r="B19">
        <v>306</v>
      </c>
      <c r="C19" t="s">
        <v>15</v>
      </c>
      <c r="D19" t="s">
        <v>16</v>
      </c>
      <c r="E19" t="s">
        <v>13</v>
      </c>
      <c r="F19">
        <v>2</v>
      </c>
      <c r="G19">
        <v>45000</v>
      </c>
      <c r="H19" t="s">
        <v>27</v>
      </c>
      <c r="I19">
        <f t="shared" si="1"/>
        <v>90000</v>
      </c>
      <c r="J19">
        <f>VLOOKUP(E19,Product_Master!A:C,3,0)</f>
        <v>18</v>
      </c>
      <c r="K19">
        <f t="shared" si="2"/>
        <v>16200</v>
      </c>
    </row>
    <row r="21" spans="1:12" ht="28.8" x14ac:dyDescent="0.3">
      <c r="A21" s="1" t="s">
        <v>44</v>
      </c>
    </row>
    <row r="23" spans="1:12" x14ac:dyDescent="0.3">
      <c r="B23" t="s">
        <v>4</v>
      </c>
      <c r="C23" t="s">
        <v>5</v>
      </c>
      <c r="D23" t="s">
        <v>6</v>
      </c>
      <c r="E23" t="s">
        <v>7</v>
      </c>
      <c r="F23" t="s">
        <v>8</v>
      </c>
      <c r="G23" t="s">
        <v>9</v>
      </c>
      <c r="H23" t="s">
        <v>10</v>
      </c>
      <c r="I23" t="s">
        <v>73</v>
      </c>
      <c r="J23" t="s">
        <v>74</v>
      </c>
      <c r="K23" t="s">
        <v>75</v>
      </c>
      <c r="L23" s="2" t="s">
        <v>76</v>
      </c>
    </row>
    <row r="24" spans="1:12" x14ac:dyDescent="0.3">
      <c r="B24">
        <v>301</v>
      </c>
      <c r="C24" t="s">
        <v>11</v>
      </c>
      <c r="D24" t="s">
        <v>12</v>
      </c>
      <c r="E24" t="s">
        <v>13</v>
      </c>
      <c r="F24">
        <v>2</v>
      </c>
      <c r="G24">
        <v>45000</v>
      </c>
      <c r="H24" t="s">
        <v>14</v>
      </c>
      <c r="I24">
        <f>F24*G24</f>
        <v>90000</v>
      </c>
      <c r="J24">
        <f>VLOOKUP(E24,Product_Master!A:C,3,0)</f>
        <v>18</v>
      </c>
      <c r="K24">
        <f>I24*J24/100</f>
        <v>16200</v>
      </c>
      <c r="L24">
        <f>I24+K24</f>
        <v>106200</v>
      </c>
    </row>
    <row r="25" spans="1:12" x14ac:dyDescent="0.3">
      <c r="B25">
        <v>302</v>
      </c>
      <c r="C25" t="s">
        <v>15</v>
      </c>
      <c r="D25" t="s">
        <v>16</v>
      </c>
      <c r="E25" t="s">
        <v>17</v>
      </c>
      <c r="F25">
        <v>5</v>
      </c>
      <c r="G25">
        <v>15000</v>
      </c>
      <c r="H25" t="s">
        <v>18</v>
      </c>
      <c r="I25">
        <f t="shared" ref="I25:I29" si="3">F25*G25</f>
        <v>75000</v>
      </c>
      <c r="J25">
        <f>VLOOKUP(E25,Product_Master!A:C,3,0)</f>
        <v>12</v>
      </c>
      <c r="K25">
        <f t="shared" ref="K25:K29" si="4">I25*J25/100</f>
        <v>9000</v>
      </c>
      <c r="L25">
        <f t="shared" ref="L25:L29" si="5">I25+K25</f>
        <v>84000</v>
      </c>
    </row>
    <row r="26" spans="1:12" x14ac:dyDescent="0.3">
      <c r="B26">
        <v>303</v>
      </c>
      <c r="C26" t="s">
        <v>19</v>
      </c>
      <c r="D26" t="s">
        <v>20</v>
      </c>
      <c r="E26" t="s">
        <v>21</v>
      </c>
      <c r="F26">
        <v>3</v>
      </c>
      <c r="G26">
        <v>18000</v>
      </c>
      <c r="H26" t="s">
        <v>22</v>
      </c>
      <c r="I26">
        <f t="shared" si="3"/>
        <v>54000</v>
      </c>
      <c r="J26">
        <f>VLOOKUP(E26,Product_Master!A:C,3,0)</f>
        <v>12</v>
      </c>
      <c r="K26">
        <f t="shared" si="4"/>
        <v>6480</v>
      </c>
      <c r="L26">
        <f t="shared" si="5"/>
        <v>60480</v>
      </c>
    </row>
    <row r="27" spans="1:12" x14ac:dyDescent="0.3">
      <c r="B27">
        <v>304</v>
      </c>
      <c r="C27" t="s">
        <v>23</v>
      </c>
      <c r="D27" t="s">
        <v>24</v>
      </c>
      <c r="E27" t="s">
        <v>13</v>
      </c>
      <c r="F27">
        <v>1</v>
      </c>
      <c r="G27">
        <v>45000</v>
      </c>
      <c r="H27" t="s">
        <v>25</v>
      </c>
      <c r="I27">
        <f t="shared" si="3"/>
        <v>45000</v>
      </c>
      <c r="J27">
        <f>VLOOKUP(E27,Product_Master!A:C,3,0)</f>
        <v>18</v>
      </c>
      <c r="K27">
        <f t="shared" si="4"/>
        <v>8100</v>
      </c>
      <c r="L27">
        <f t="shared" si="5"/>
        <v>53100</v>
      </c>
    </row>
    <row r="28" spans="1:12" x14ac:dyDescent="0.3">
      <c r="B28">
        <v>305</v>
      </c>
      <c r="C28" t="s">
        <v>11</v>
      </c>
      <c r="D28" t="s">
        <v>12</v>
      </c>
      <c r="E28" t="s">
        <v>17</v>
      </c>
      <c r="F28">
        <v>4</v>
      </c>
      <c r="G28">
        <v>15000</v>
      </c>
      <c r="H28" t="s">
        <v>26</v>
      </c>
      <c r="I28">
        <f t="shared" si="3"/>
        <v>60000</v>
      </c>
      <c r="J28">
        <f>VLOOKUP(E28,Product_Master!A:C,3,0)</f>
        <v>12</v>
      </c>
      <c r="K28">
        <f t="shared" si="4"/>
        <v>7200</v>
      </c>
      <c r="L28">
        <f t="shared" si="5"/>
        <v>67200</v>
      </c>
    </row>
    <row r="29" spans="1:12" x14ac:dyDescent="0.3">
      <c r="B29">
        <v>306</v>
      </c>
      <c r="C29" t="s">
        <v>15</v>
      </c>
      <c r="D29" t="s">
        <v>16</v>
      </c>
      <c r="E29" t="s">
        <v>13</v>
      </c>
      <c r="F29">
        <v>2</v>
      </c>
      <c r="G29">
        <v>45000</v>
      </c>
      <c r="H29" t="s">
        <v>27</v>
      </c>
      <c r="I29">
        <f t="shared" si="3"/>
        <v>90000</v>
      </c>
      <c r="J29">
        <f>VLOOKUP(E29,Product_Master!A:C,3,0)</f>
        <v>18</v>
      </c>
      <c r="K29">
        <f t="shared" si="4"/>
        <v>16200</v>
      </c>
      <c r="L29">
        <f t="shared" si="5"/>
        <v>106200</v>
      </c>
    </row>
    <row r="31" spans="1:12" x14ac:dyDescent="0.3">
      <c r="A31" s="1" t="s">
        <v>77</v>
      </c>
    </row>
    <row r="33" spans="1:13" x14ac:dyDescent="0.3">
      <c r="B33" t="s">
        <v>4</v>
      </c>
      <c r="C33" t="s">
        <v>5</v>
      </c>
      <c r="D33" t="s">
        <v>6</v>
      </c>
      <c r="E33" t="s">
        <v>7</v>
      </c>
      <c r="F33" t="s">
        <v>8</v>
      </c>
      <c r="G33" t="s">
        <v>9</v>
      </c>
      <c r="H33" t="s">
        <v>10</v>
      </c>
      <c r="I33" t="s">
        <v>73</v>
      </c>
      <c r="J33" t="s">
        <v>74</v>
      </c>
      <c r="K33" t="s">
        <v>75</v>
      </c>
      <c r="L33" t="s">
        <v>76</v>
      </c>
    </row>
    <row r="34" spans="1:13" x14ac:dyDescent="0.3">
      <c r="B34">
        <v>301</v>
      </c>
      <c r="C34" t="s">
        <v>11</v>
      </c>
      <c r="D34" t="s">
        <v>12</v>
      </c>
      <c r="E34" t="s">
        <v>13</v>
      </c>
      <c r="F34">
        <v>2</v>
      </c>
      <c r="G34">
        <v>45000</v>
      </c>
      <c r="H34" t="s">
        <v>14</v>
      </c>
      <c r="I34">
        <f>F34*G34</f>
        <v>90000</v>
      </c>
      <c r="J34">
        <f>VLOOKUP(E34,Product_Master!A:C,3,0)</f>
        <v>18</v>
      </c>
      <c r="K34">
        <f>I34*J34/100</f>
        <v>16200</v>
      </c>
      <c r="L34">
        <f>I34+K34</f>
        <v>106200</v>
      </c>
    </row>
    <row r="35" spans="1:13" x14ac:dyDescent="0.3">
      <c r="B35">
        <v>302</v>
      </c>
      <c r="C35" t="s">
        <v>15</v>
      </c>
      <c r="D35" t="s">
        <v>16</v>
      </c>
      <c r="E35" t="s">
        <v>17</v>
      </c>
      <c r="F35">
        <v>5</v>
      </c>
      <c r="G35">
        <v>15000</v>
      </c>
      <c r="H35" t="s">
        <v>18</v>
      </c>
      <c r="I35">
        <f t="shared" ref="I35:I39" si="6">F35*G35</f>
        <v>75000</v>
      </c>
      <c r="J35">
        <f>VLOOKUP(E35,Product_Master!A:C,3,0)</f>
        <v>12</v>
      </c>
      <c r="K35">
        <f t="shared" ref="K35:K39" si="7">I35*J35/100</f>
        <v>9000</v>
      </c>
      <c r="L35">
        <f t="shared" ref="L35:L39" si="8">I35+K35</f>
        <v>84000</v>
      </c>
    </row>
    <row r="36" spans="1:13" x14ac:dyDescent="0.3">
      <c r="B36">
        <v>303</v>
      </c>
      <c r="C36" t="s">
        <v>19</v>
      </c>
      <c r="D36" t="s">
        <v>20</v>
      </c>
      <c r="E36" t="s">
        <v>21</v>
      </c>
      <c r="F36">
        <v>3</v>
      </c>
      <c r="G36">
        <v>18000</v>
      </c>
      <c r="H36" t="s">
        <v>22</v>
      </c>
      <c r="I36">
        <f t="shared" si="6"/>
        <v>54000</v>
      </c>
      <c r="J36">
        <f>VLOOKUP(E36,Product_Master!A:C,3,0)</f>
        <v>12</v>
      </c>
      <c r="K36">
        <f t="shared" si="7"/>
        <v>6480</v>
      </c>
      <c r="L36">
        <f t="shared" si="8"/>
        <v>60480</v>
      </c>
    </row>
    <row r="37" spans="1:13" x14ac:dyDescent="0.3">
      <c r="B37">
        <v>304</v>
      </c>
      <c r="C37" t="s">
        <v>23</v>
      </c>
      <c r="D37" t="s">
        <v>24</v>
      </c>
      <c r="E37" t="s">
        <v>13</v>
      </c>
      <c r="F37">
        <v>1</v>
      </c>
      <c r="G37">
        <v>45000</v>
      </c>
      <c r="H37" t="s">
        <v>25</v>
      </c>
      <c r="I37">
        <f t="shared" si="6"/>
        <v>45000</v>
      </c>
      <c r="J37">
        <f>VLOOKUP(E37,Product_Master!A:C,3,0)</f>
        <v>18</v>
      </c>
      <c r="K37">
        <f t="shared" si="7"/>
        <v>8100</v>
      </c>
      <c r="L37">
        <f t="shared" si="8"/>
        <v>53100</v>
      </c>
    </row>
    <row r="38" spans="1:13" x14ac:dyDescent="0.3">
      <c r="B38">
        <v>305</v>
      </c>
      <c r="C38" t="s">
        <v>11</v>
      </c>
      <c r="D38" t="s">
        <v>12</v>
      </c>
      <c r="E38" t="s">
        <v>17</v>
      </c>
      <c r="F38">
        <v>4</v>
      </c>
      <c r="G38">
        <v>15000</v>
      </c>
      <c r="H38" t="s">
        <v>26</v>
      </c>
      <c r="I38">
        <f t="shared" si="6"/>
        <v>60000</v>
      </c>
      <c r="J38">
        <f>VLOOKUP(E38,Product_Master!A:C,3,0)</f>
        <v>12</v>
      </c>
      <c r="K38">
        <f t="shared" si="7"/>
        <v>7200</v>
      </c>
      <c r="L38">
        <f t="shared" si="8"/>
        <v>67200</v>
      </c>
    </row>
    <row r="39" spans="1:13" x14ac:dyDescent="0.3">
      <c r="B39">
        <v>306</v>
      </c>
      <c r="C39" t="s">
        <v>15</v>
      </c>
      <c r="D39" t="s">
        <v>16</v>
      </c>
      <c r="E39" t="s">
        <v>13</v>
      </c>
      <c r="F39">
        <v>2</v>
      </c>
      <c r="G39">
        <v>45000</v>
      </c>
      <c r="H39" t="s">
        <v>27</v>
      </c>
      <c r="I39">
        <f t="shared" si="6"/>
        <v>90000</v>
      </c>
      <c r="J39">
        <f>VLOOKUP(E39,Product_Master!A:C,3,0)</f>
        <v>18</v>
      </c>
      <c r="K39">
        <f t="shared" si="7"/>
        <v>16200</v>
      </c>
      <c r="L39">
        <f t="shared" si="8"/>
        <v>106200</v>
      </c>
    </row>
    <row r="40" spans="1:13" x14ac:dyDescent="0.3">
      <c r="L40" s="2">
        <f>SUM(L34:L39)</f>
        <v>477180</v>
      </c>
    </row>
    <row r="42" spans="1:13" ht="28.8" x14ac:dyDescent="0.3">
      <c r="A42" s="1" t="s">
        <v>78</v>
      </c>
    </row>
    <row r="44" spans="1:13" x14ac:dyDescent="0.3">
      <c r="A44" s="1" t="s">
        <v>79</v>
      </c>
      <c r="B44">
        <f>COUNTA(Sales_Data!A2:A8)</f>
        <v>6</v>
      </c>
    </row>
    <row r="46" spans="1:13" ht="28.8" x14ac:dyDescent="0.3">
      <c r="A46" s="1" t="s">
        <v>80</v>
      </c>
    </row>
    <row r="48" spans="1:13" x14ac:dyDescent="0.3">
      <c r="B48" t="s">
        <v>4</v>
      </c>
      <c r="C48" t="s">
        <v>5</v>
      </c>
      <c r="D48" t="s">
        <v>6</v>
      </c>
      <c r="E48" t="s">
        <v>7</v>
      </c>
      <c r="F48" t="s">
        <v>8</v>
      </c>
      <c r="G48" t="s">
        <v>9</v>
      </c>
      <c r="H48" t="s">
        <v>10</v>
      </c>
      <c r="I48" t="s">
        <v>73</v>
      </c>
      <c r="L48" t="s">
        <v>5</v>
      </c>
      <c r="M48" s="2" t="s">
        <v>73</v>
      </c>
    </row>
    <row r="49" spans="1:13" x14ac:dyDescent="0.3">
      <c r="B49">
        <v>301</v>
      </c>
      <c r="C49" t="s">
        <v>11</v>
      </c>
      <c r="D49" t="s">
        <v>12</v>
      </c>
      <c r="E49" t="s">
        <v>13</v>
      </c>
      <c r="F49">
        <v>2</v>
      </c>
      <c r="G49">
        <v>45000</v>
      </c>
      <c r="H49" t="s">
        <v>14</v>
      </c>
      <c r="I49">
        <f>F49*G49</f>
        <v>90000</v>
      </c>
      <c r="L49" t="s">
        <v>11</v>
      </c>
      <c r="M49">
        <f>SUMIF(C49:C54,L49,I49:I54)</f>
        <v>150000</v>
      </c>
    </row>
    <row r="50" spans="1:13" x14ac:dyDescent="0.3">
      <c r="B50">
        <v>302</v>
      </c>
      <c r="C50" t="s">
        <v>15</v>
      </c>
      <c r="D50" t="s">
        <v>16</v>
      </c>
      <c r="E50" t="s">
        <v>17</v>
      </c>
      <c r="F50">
        <v>5</v>
      </c>
      <c r="G50">
        <v>15000</v>
      </c>
      <c r="H50" t="s">
        <v>18</v>
      </c>
      <c r="I50">
        <f t="shared" ref="I50:I54" si="9">F50*G50</f>
        <v>75000</v>
      </c>
      <c r="L50" t="s">
        <v>15</v>
      </c>
      <c r="M50">
        <f t="shared" ref="M50:M52" si="10">SUMIF(C50:C55,L50,I50:I55)</f>
        <v>165000</v>
      </c>
    </row>
    <row r="51" spans="1:13" x14ac:dyDescent="0.3">
      <c r="B51">
        <v>303</v>
      </c>
      <c r="C51" t="s">
        <v>19</v>
      </c>
      <c r="D51" t="s">
        <v>20</v>
      </c>
      <c r="E51" t="s">
        <v>21</v>
      </c>
      <c r="F51">
        <v>3</v>
      </c>
      <c r="G51">
        <v>18000</v>
      </c>
      <c r="H51" t="s">
        <v>22</v>
      </c>
      <c r="I51">
        <f t="shared" si="9"/>
        <v>54000</v>
      </c>
      <c r="L51" t="s">
        <v>19</v>
      </c>
      <c r="M51">
        <f t="shared" si="10"/>
        <v>54000</v>
      </c>
    </row>
    <row r="52" spans="1:13" x14ac:dyDescent="0.3">
      <c r="B52">
        <v>304</v>
      </c>
      <c r="C52" t="s">
        <v>23</v>
      </c>
      <c r="D52" t="s">
        <v>24</v>
      </c>
      <c r="E52" t="s">
        <v>13</v>
      </c>
      <c r="F52">
        <v>1</v>
      </c>
      <c r="G52">
        <v>45000</v>
      </c>
      <c r="H52" t="s">
        <v>25</v>
      </c>
      <c r="I52">
        <f t="shared" si="9"/>
        <v>45000</v>
      </c>
      <c r="L52" t="s">
        <v>23</v>
      </c>
      <c r="M52">
        <f t="shared" si="10"/>
        <v>45000</v>
      </c>
    </row>
    <row r="53" spans="1:13" x14ac:dyDescent="0.3">
      <c r="B53">
        <v>305</v>
      </c>
      <c r="C53" t="s">
        <v>11</v>
      </c>
      <c r="D53" t="s">
        <v>12</v>
      </c>
      <c r="E53" t="s">
        <v>17</v>
      </c>
      <c r="F53">
        <v>4</v>
      </c>
      <c r="G53">
        <v>15000</v>
      </c>
      <c r="H53" t="s">
        <v>26</v>
      </c>
      <c r="I53">
        <f t="shared" si="9"/>
        <v>60000</v>
      </c>
    </row>
    <row r="54" spans="1:13" x14ac:dyDescent="0.3">
      <c r="B54">
        <v>306</v>
      </c>
      <c r="C54" t="s">
        <v>15</v>
      </c>
      <c r="D54" t="s">
        <v>16</v>
      </c>
      <c r="E54" t="s">
        <v>13</v>
      </c>
      <c r="F54">
        <v>2</v>
      </c>
      <c r="G54">
        <v>45000</v>
      </c>
      <c r="H54" t="s">
        <v>27</v>
      </c>
      <c r="I54">
        <f t="shared" si="9"/>
        <v>90000</v>
      </c>
    </row>
    <row r="56" spans="1:13" ht="28.8" x14ac:dyDescent="0.3">
      <c r="A56" s="1" t="s">
        <v>48</v>
      </c>
    </row>
    <row r="58" spans="1:13" x14ac:dyDescent="0.3">
      <c r="B58" t="s">
        <v>4</v>
      </c>
      <c r="C58" t="s">
        <v>5</v>
      </c>
      <c r="D58" t="s">
        <v>6</v>
      </c>
      <c r="E58" t="s">
        <v>7</v>
      </c>
      <c r="F58" t="s">
        <v>8</v>
      </c>
      <c r="G58" t="s">
        <v>9</v>
      </c>
      <c r="H58" t="s">
        <v>10</v>
      </c>
      <c r="I58" s="2" t="s">
        <v>81</v>
      </c>
    </row>
    <row r="59" spans="1:13" x14ac:dyDescent="0.3">
      <c r="B59">
        <v>301</v>
      </c>
      <c r="C59" t="s">
        <v>11</v>
      </c>
      <c r="D59" t="s">
        <v>12</v>
      </c>
      <c r="E59" t="s">
        <v>13</v>
      </c>
      <c r="F59">
        <v>2</v>
      </c>
      <c r="G59">
        <v>45000</v>
      </c>
      <c r="H59" t="s">
        <v>14</v>
      </c>
      <c r="I59" t="str">
        <f>IF(Answers!F59&gt;3, "High", "Low")</f>
        <v>Low</v>
      </c>
    </row>
    <row r="60" spans="1:13" x14ac:dyDescent="0.3">
      <c r="B60">
        <v>302</v>
      </c>
      <c r="C60" t="s">
        <v>15</v>
      </c>
      <c r="D60" t="s">
        <v>16</v>
      </c>
      <c r="E60" t="s">
        <v>17</v>
      </c>
      <c r="F60">
        <v>5</v>
      </c>
      <c r="G60">
        <v>15000</v>
      </c>
      <c r="H60" t="s">
        <v>18</v>
      </c>
      <c r="I60" t="str">
        <f>IF(Answers!F60&gt;3, "High", "Low")</f>
        <v>High</v>
      </c>
    </row>
    <row r="61" spans="1:13" x14ac:dyDescent="0.3">
      <c r="B61">
        <v>303</v>
      </c>
      <c r="C61" t="s">
        <v>19</v>
      </c>
      <c r="D61" t="s">
        <v>20</v>
      </c>
      <c r="E61" t="s">
        <v>21</v>
      </c>
      <c r="F61">
        <v>3</v>
      </c>
      <c r="G61">
        <v>18000</v>
      </c>
      <c r="H61" t="s">
        <v>22</v>
      </c>
      <c r="I61" t="str">
        <f>IF(Answers!F61&gt;3, "High", "Low")</f>
        <v>Low</v>
      </c>
    </row>
    <row r="62" spans="1:13" x14ac:dyDescent="0.3">
      <c r="B62">
        <v>304</v>
      </c>
      <c r="C62" t="s">
        <v>23</v>
      </c>
      <c r="D62" t="s">
        <v>24</v>
      </c>
      <c r="E62" t="s">
        <v>13</v>
      </c>
      <c r="F62">
        <v>1</v>
      </c>
      <c r="G62">
        <v>45000</v>
      </c>
      <c r="H62" t="s">
        <v>25</v>
      </c>
      <c r="I62" t="str">
        <f>IF(Answers!F62&gt;3, "High", "Low")</f>
        <v>Low</v>
      </c>
    </row>
    <row r="63" spans="1:13" x14ac:dyDescent="0.3">
      <c r="B63">
        <v>305</v>
      </c>
      <c r="C63" t="s">
        <v>11</v>
      </c>
      <c r="D63" t="s">
        <v>12</v>
      </c>
      <c r="E63" t="s">
        <v>17</v>
      </c>
      <c r="F63">
        <v>4</v>
      </c>
      <c r="G63">
        <v>15000</v>
      </c>
      <c r="H63" t="s">
        <v>26</v>
      </c>
      <c r="I63" t="str">
        <f>IF(Answers!F63&gt;3, "High", "Low")</f>
        <v>High</v>
      </c>
    </row>
    <row r="64" spans="1:13" x14ac:dyDescent="0.3">
      <c r="B64">
        <v>306</v>
      </c>
      <c r="C64" t="s">
        <v>15</v>
      </c>
      <c r="D64" t="s">
        <v>16</v>
      </c>
      <c r="E64" t="s">
        <v>13</v>
      </c>
      <c r="F64">
        <v>2</v>
      </c>
      <c r="G64">
        <v>45000</v>
      </c>
      <c r="H64" t="s">
        <v>27</v>
      </c>
      <c r="I64" t="str">
        <f>IF(Answers!F64&gt;3, "High", "Low")</f>
        <v>Low</v>
      </c>
    </row>
    <row r="66" spans="1:12" ht="28.8" x14ac:dyDescent="0.3">
      <c r="A66" s="1" t="s">
        <v>49</v>
      </c>
    </row>
    <row r="68" spans="1:12" x14ac:dyDescent="0.3">
      <c r="B68" t="s">
        <v>4</v>
      </c>
      <c r="C68" t="s">
        <v>5</v>
      </c>
      <c r="D68" t="s">
        <v>6</v>
      </c>
      <c r="E68" t="s">
        <v>7</v>
      </c>
      <c r="F68" t="s">
        <v>8</v>
      </c>
      <c r="G68" t="s">
        <v>9</v>
      </c>
      <c r="H68" t="s">
        <v>10</v>
      </c>
      <c r="I68" t="s">
        <v>73</v>
      </c>
      <c r="J68" t="s">
        <v>74</v>
      </c>
      <c r="K68" t="s">
        <v>75</v>
      </c>
      <c r="L68" t="s">
        <v>76</v>
      </c>
    </row>
    <row r="69" spans="1:12" x14ac:dyDescent="0.3">
      <c r="B69">
        <v>301</v>
      </c>
      <c r="C69" t="s">
        <v>11</v>
      </c>
      <c r="D69" t="s">
        <v>12</v>
      </c>
      <c r="E69" t="s">
        <v>13</v>
      </c>
      <c r="F69">
        <v>2</v>
      </c>
      <c r="G69">
        <v>45000</v>
      </c>
      <c r="H69" t="s">
        <v>14</v>
      </c>
      <c r="I69">
        <f>F69*G69</f>
        <v>90000</v>
      </c>
      <c r="J69">
        <f>VLOOKUP(E69,Product_Master!A:C,3,0)</f>
        <v>18</v>
      </c>
      <c r="K69">
        <f>I69*J69/100</f>
        <v>16200</v>
      </c>
      <c r="L69">
        <f>I69+K69</f>
        <v>106200</v>
      </c>
    </row>
    <row r="70" spans="1:12" x14ac:dyDescent="0.3">
      <c r="B70">
        <v>302</v>
      </c>
      <c r="C70" t="s">
        <v>15</v>
      </c>
      <c r="D70" t="s">
        <v>16</v>
      </c>
      <c r="E70" t="s">
        <v>17</v>
      </c>
      <c r="F70">
        <v>5</v>
      </c>
      <c r="G70">
        <v>15000</v>
      </c>
      <c r="H70" t="s">
        <v>18</v>
      </c>
      <c r="I70">
        <f t="shared" ref="I70:I74" si="11">F70*G70</f>
        <v>75000</v>
      </c>
      <c r="J70">
        <f>VLOOKUP(E70,Product_Master!A:C,3,0)</f>
        <v>12</v>
      </c>
      <c r="K70">
        <f t="shared" ref="K70:K74" si="12">I70*J70/100</f>
        <v>9000</v>
      </c>
      <c r="L70">
        <f t="shared" ref="L70:L74" si="13">I70+K70</f>
        <v>84000</v>
      </c>
    </row>
    <row r="71" spans="1:12" x14ac:dyDescent="0.3">
      <c r="B71">
        <v>303</v>
      </c>
      <c r="C71" t="s">
        <v>19</v>
      </c>
      <c r="D71" t="s">
        <v>20</v>
      </c>
      <c r="E71" t="s">
        <v>21</v>
      </c>
      <c r="F71">
        <v>3</v>
      </c>
      <c r="G71">
        <v>18000</v>
      </c>
      <c r="H71" t="s">
        <v>22</v>
      </c>
      <c r="I71">
        <f t="shared" si="11"/>
        <v>54000</v>
      </c>
      <c r="J71">
        <f>VLOOKUP(E71,Product_Master!A:C,3,0)</f>
        <v>12</v>
      </c>
      <c r="K71">
        <f t="shared" si="12"/>
        <v>6480</v>
      </c>
      <c r="L71">
        <f t="shared" si="13"/>
        <v>60480</v>
      </c>
    </row>
    <row r="72" spans="1:12" x14ac:dyDescent="0.3">
      <c r="B72">
        <v>304</v>
      </c>
      <c r="C72" t="s">
        <v>23</v>
      </c>
      <c r="D72" t="s">
        <v>24</v>
      </c>
      <c r="E72" t="s">
        <v>13</v>
      </c>
      <c r="F72">
        <v>1</v>
      </c>
      <c r="G72">
        <v>45000</v>
      </c>
      <c r="H72" t="s">
        <v>25</v>
      </c>
      <c r="I72">
        <f t="shared" si="11"/>
        <v>45000</v>
      </c>
      <c r="J72">
        <f>VLOOKUP(E72,Product_Master!A:C,3,0)</f>
        <v>18</v>
      </c>
      <c r="K72">
        <f t="shared" si="12"/>
        <v>8100</v>
      </c>
      <c r="L72">
        <f t="shared" si="13"/>
        <v>53100</v>
      </c>
    </row>
    <row r="73" spans="1:12" x14ac:dyDescent="0.3">
      <c r="B73">
        <v>305</v>
      </c>
      <c r="C73" t="s">
        <v>11</v>
      </c>
      <c r="D73" t="s">
        <v>12</v>
      </c>
      <c r="E73" t="s">
        <v>17</v>
      </c>
      <c r="F73">
        <v>4</v>
      </c>
      <c r="G73">
        <v>15000</v>
      </c>
      <c r="H73" t="s">
        <v>26</v>
      </c>
      <c r="I73">
        <f t="shared" si="11"/>
        <v>60000</v>
      </c>
      <c r="J73">
        <f>VLOOKUP(E73,Product_Master!A:C,3,0)</f>
        <v>12</v>
      </c>
      <c r="K73">
        <f t="shared" si="12"/>
        <v>7200</v>
      </c>
      <c r="L73">
        <f t="shared" si="13"/>
        <v>67200</v>
      </c>
    </row>
    <row r="74" spans="1:12" x14ac:dyDescent="0.3">
      <c r="B74">
        <v>306</v>
      </c>
      <c r="C74" t="s">
        <v>15</v>
      </c>
      <c r="D74" t="s">
        <v>16</v>
      </c>
      <c r="E74" t="s">
        <v>13</v>
      </c>
      <c r="F74">
        <v>2</v>
      </c>
      <c r="G74">
        <v>45000</v>
      </c>
      <c r="H74" t="s">
        <v>27</v>
      </c>
      <c r="I74">
        <f t="shared" si="11"/>
        <v>90000</v>
      </c>
      <c r="J74">
        <f>VLOOKUP(E74,Product_Master!A:C,3,0)</f>
        <v>18</v>
      </c>
      <c r="K74">
        <f t="shared" si="12"/>
        <v>16200</v>
      </c>
      <c r="L74">
        <f t="shared" si="13"/>
        <v>106200</v>
      </c>
    </row>
    <row r="76" spans="1:12" x14ac:dyDescent="0.3">
      <c r="B76" s="3" t="s">
        <v>82</v>
      </c>
      <c r="C76" s="3" t="s">
        <v>83</v>
      </c>
    </row>
    <row r="77" spans="1:12" x14ac:dyDescent="0.3">
      <c r="B77" s="4">
        <f>MAX(L69:L74)</f>
        <v>106200</v>
      </c>
      <c r="C77" s="4">
        <f>MIN(L69:L74)</f>
        <v>53100</v>
      </c>
    </row>
    <row r="79" spans="1:12" x14ac:dyDescent="0.3">
      <c r="A79" s="1" t="s">
        <v>50</v>
      </c>
    </row>
    <row r="81" spans="1:12" x14ac:dyDescent="0.3">
      <c r="B81" t="s">
        <v>4</v>
      </c>
      <c r="C81" t="s">
        <v>5</v>
      </c>
      <c r="D81" t="s">
        <v>6</v>
      </c>
      <c r="E81" t="s">
        <v>7</v>
      </c>
      <c r="F81" t="s">
        <v>8</v>
      </c>
      <c r="G81" t="s">
        <v>9</v>
      </c>
      <c r="H81" t="s">
        <v>10</v>
      </c>
      <c r="I81" s="2" t="s">
        <v>84</v>
      </c>
      <c r="J81" s="5"/>
      <c r="K81" s="5"/>
      <c r="L81" s="5"/>
    </row>
    <row r="82" spans="1:12" x14ac:dyDescent="0.3">
      <c r="B82">
        <v>301</v>
      </c>
      <c r="C82" t="s">
        <v>11</v>
      </c>
      <c r="D82" t="s">
        <v>12</v>
      </c>
      <c r="E82" t="s">
        <v>13</v>
      </c>
      <c r="F82">
        <v>2</v>
      </c>
      <c r="G82">
        <v>45000</v>
      </c>
      <c r="H82" t="s">
        <v>14</v>
      </c>
      <c r="I82" t="str">
        <f>TEXT(H82,"MMMM")</f>
        <v>January</v>
      </c>
      <c r="J82" s="6"/>
      <c r="K82" s="6"/>
      <c r="L82" s="5"/>
    </row>
    <row r="83" spans="1:12" x14ac:dyDescent="0.3">
      <c r="B83">
        <v>302</v>
      </c>
      <c r="C83" t="s">
        <v>15</v>
      </c>
      <c r="D83" t="s">
        <v>16</v>
      </c>
      <c r="E83" t="s">
        <v>17</v>
      </c>
      <c r="F83">
        <v>5</v>
      </c>
      <c r="G83">
        <v>15000</v>
      </c>
      <c r="H83" t="s">
        <v>18</v>
      </c>
      <c r="I83" t="str">
        <f t="shared" ref="I83:I87" si="14">TEXT(H83,"MMMM")</f>
        <v>January</v>
      </c>
      <c r="J83" s="6"/>
      <c r="K83" s="6"/>
      <c r="L83" s="5"/>
    </row>
    <row r="84" spans="1:12" x14ac:dyDescent="0.3">
      <c r="B84">
        <v>303</v>
      </c>
      <c r="C84" t="s">
        <v>19</v>
      </c>
      <c r="D84" t="s">
        <v>20</v>
      </c>
      <c r="E84" t="s">
        <v>21</v>
      </c>
      <c r="F84">
        <v>3</v>
      </c>
      <c r="G84">
        <v>18000</v>
      </c>
      <c r="H84" t="s">
        <v>22</v>
      </c>
      <c r="I84" t="str">
        <f t="shared" si="14"/>
        <v>January</v>
      </c>
      <c r="J84" s="6"/>
      <c r="K84" s="6"/>
      <c r="L84" s="5"/>
    </row>
    <row r="85" spans="1:12" x14ac:dyDescent="0.3">
      <c r="B85">
        <v>304</v>
      </c>
      <c r="C85" t="s">
        <v>23</v>
      </c>
      <c r="D85" t="s">
        <v>24</v>
      </c>
      <c r="E85" t="s">
        <v>13</v>
      </c>
      <c r="F85">
        <v>1</v>
      </c>
      <c r="G85">
        <v>45000</v>
      </c>
      <c r="H85" t="s">
        <v>25</v>
      </c>
      <c r="I85" t="str">
        <f t="shared" si="14"/>
        <v>January</v>
      </c>
      <c r="J85" s="6"/>
      <c r="K85" s="6"/>
      <c r="L85" s="5"/>
    </row>
    <row r="86" spans="1:12" x14ac:dyDescent="0.3">
      <c r="B86">
        <v>305</v>
      </c>
      <c r="C86" t="s">
        <v>11</v>
      </c>
      <c r="D86" t="s">
        <v>12</v>
      </c>
      <c r="E86" t="s">
        <v>17</v>
      </c>
      <c r="F86">
        <v>4</v>
      </c>
      <c r="G86">
        <v>15000</v>
      </c>
      <c r="H86" t="s">
        <v>26</v>
      </c>
      <c r="I86" t="str">
        <f t="shared" si="14"/>
        <v>January</v>
      </c>
      <c r="J86" s="6"/>
      <c r="K86" s="6"/>
      <c r="L86" s="5"/>
    </row>
    <row r="87" spans="1:12" x14ac:dyDescent="0.3">
      <c r="B87">
        <v>306</v>
      </c>
      <c r="C87" t="s">
        <v>15</v>
      </c>
      <c r="D87" t="s">
        <v>16</v>
      </c>
      <c r="E87" t="s">
        <v>13</v>
      </c>
      <c r="F87">
        <v>2</v>
      </c>
      <c r="G87">
        <v>45000</v>
      </c>
      <c r="H87" t="s">
        <v>27</v>
      </c>
      <c r="I87" t="str">
        <f t="shared" si="14"/>
        <v>January</v>
      </c>
      <c r="J87" s="6"/>
      <c r="K87" s="6"/>
      <c r="L87" s="5"/>
    </row>
    <row r="89" spans="1:12" ht="28.8" x14ac:dyDescent="0.3">
      <c r="A89" s="1" t="s">
        <v>51</v>
      </c>
    </row>
    <row r="91" spans="1:12" x14ac:dyDescent="0.3">
      <c r="B91" t="s">
        <v>4</v>
      </c>
      <c r="C91" t="s">
        <v>5</v>
      </c>
      <c r="D91" t="s">
        <v>6</v>
      </c>
      <c r="E91" t="s">
        <v>7</v>
      </c>
      <c r="F91" t="s">
        <v>8</v>
      </c>
      <c r="G91" t="s">
        <v>9</v>
      </c>
      <c r="H91" t="s">
        <v>10</v>
      </c>
      <c r="I91" t="s">
        <v>73</v>
      </c>
      <c r="J91" t="s">
        <v>74</v>
      </c>
      <c r="K91" t="s">
        <v>75</v>
      </c>
      <c r="L91" s="2" t="s">
        <v>76</v>
      </c>
    </row>
    <row r="92" spans="1:12" x14ac:dyDescent="0.3">
      <c r="B92">
        <v>301</v>
      </c>
      <c r="C92" t="s">
        <v>11</v>
      </c>
      <c r="D92" t="s">
        <v>12</v>
      </c>
      <c r="E92" t="s">
        <v>13</v>
      </c>
      <c r="F92">
        <v>2</v>
      </c>
      <c r="G92">
        <v>45000</v>
      </c>
      <c r="H92" t="s">
        <v>14</v>
      </c>
      <c r="I92">
        <f t="shared" ref="I92:I97" si="15">F92*G92</f>
        <v>90000</v>
      </c>
      <c r="J92">
        <f>VLOOKUP(E92,Product_Master!A:C,3,0)</f>
        <v>18</v>
      </c>
      <c r="K92">
        <f t="shared" ref="K92:K97" si="16">I92*J92/100</f>
        <v>16200</v>
      </c>
      <c r="L92">
        <f t="shared" ref="L92:L97" si="17">I92+K92</f>
        <v>106200</v>
      </c>
    </row>
    <row r="93" spans="1:12" x14ac:dyDescent="0.3">
      <c r="B93">
        <v>306</v>
      </c>
      <c r="C93" t="s">
        <v>15</v>
      </c>
      <c r="D93" t="s">
        <v>16</v>
      </c>
      <c r="E93" t="s">
        <v>13</v>
      </c>
      <c r="F93">
        <v>2</v>
      </c>
      <c r="G93">
        <v>45000</v>
      </c>
      <c r="H93" t="s">
        <v>27</v>
      </c>
      <c r="I93">
        <f t="shared" si="15"/>
        <v>90000</v>
      </c>
      <c r="J93">
        <f>VLOOKUP(E93,Product_Master!A:C,3,0)</f>
        <v>18</v>
      </c>
      <c r="K93">
        <f t="shared" si="16"/>
        <v>16200</v>
      </c>
      <c r="L93">
        <f t="shared" si="17"/>
        <v>106200</v>
      </c>
    </row>
    <row r="94" spans="1:12" x14ac:dyDescent="0.3">
      <c r="B94">
        <v>302</v>
      </c>
      <c r="C94" t="s">
        <v>15</v>
      </c>
      <c r="D94" t="s">
        <v>16</v>
      </c>
      <c r="E94" t="s">
        <v>17</v>
      </c>
      <c r="F94">
        <v>5</v>
      </c>
      <c r="G94">
        <v>15000</v>
      </c>
      <c r="H94" t="s">
        <v>18</v>
      </c>
      <c r="I94">
        <f t="shared" si="15"/>
        <v>75000</v>
      </c>
      <c r="J94">
        <f>VLOOKUP(E94,Product_Master!A:C,3,0)</f>
        <v>12</v>
      </c>
      <c r="K94">
        <f t="shared" si="16"/>
        <v>9000</v>
      </c>
      <c r="L94">
        <f t="shared" si="17"/>
        <v>84000</v>
      </c>
    </row>
    <row r="95" spans="1:12" x14ac:dyDescent="0.3">
      <c r="B95">
        <v>305</v>
      </c>
      <c r="C95" t="s">
        <v>11</v>
      </c>
      <c r="D95" t="s">
        <v>12</v>
      </c>
      <c r="E95" t="s">
        <v>17</v>
      </c>
      <c r="F95">
        <v>4</v>
      </c>
      <c r="G95">
        <v>15000</v>
      </c>
      <c r="H95" t="s">
        <v>26</v>
      </c>
      <c r="I95">
        <f t="shared" si="15"/>
        <v>60000</v>
      </c>
      <c r="J95">
        <f>VLOOKUP(E95,Product_Master!A:C,3,0)</f>
        <v>12</v>
      </c>
      <c r="K95">
        <f t="shared" si="16"/>
        <v>7200</v>
      </c>
      <c r="L95">
        <f t="shared" si="17"/>
        <v>67200</v>
      </c>
    </row>
    <row r="96" spans="1:12" x14ac:dyDescent="0.3">
      <c r="B96">
        <v>303</v>
      </c>
      <c r="C96" t="s">
        <v>19</v>
      </c>
      <c r="D96" t="s">
        <v>20</v>
      </c>
      <c r="E96" t="s">
        <v>21</v>
      </c>
      <c r="F96">
        <v>3</v>
      </c>
      <c r="G96">
        <v>18000</v>
      </c>
      <c r="H96" t="s">
        <v>22</v>
      </c>
      <c r="I96">
        <f t="shared" si="15"/>
        <v>54000</v>
      </c>
      <c r="J96">
        <f>VLOOKUP(E96,Product_Master!A:C,3,0)</f>
        <v>12</v>
      </c>
      <c r="K96">
        <f t="shared" si="16"/>
        <v>6480</v>
      </c>
      <c r="L96">
        <f t="shared" si="17"/>
        <v>60480</v>
      </c>
    </row>
    <row r="97" spans="1:12" x14ac:dyDescent="0.3">
      <c r="B97">
        <v>304</v>
      </c>
      <c r="C97" t="s">
        <v>23</v>
      </c>
      <c r="D97" t="s">
        <v>24</v>
      </c>
      <c r="E97" t="s">
        <v>13</v>
      </c>
      <c r="F97">
        <v>1</v>
      </c>
      <c r="G97">
        <v>45000</v>
      </c>
      <c r="H97" t="s">
        <v>25</v>
      </c>
      <c r="I97">
        <f t="shared" si="15"/>
        <v>45000</v>
      </c>
      <c r="J97">
        <f>VLOOKUP(E97,Product_Master!A:C,3,0)</f>
        <v>18</v>
      </c>
      <c r="K97">
        <f t="shared" si="16"/>
        <v>8100</v>
      </c>
      <c r="L97">
        <f t="shared" si="17"/>
        <v>53100</v>
      </c>
    </row>
    <row r="99" spans="1:12" ht="28.8" x14ac:dyDescent="0.3">
      <c r="A99" s="1" t="s">
        <v>52</v>
      </c>
    </row>
    <row r="101" spans="1:12" x14ac:dyDescent="0.3">
      <c r="A101" t="s">
        <v>7</v>
      </c>
      <c r="B101" t="s">
        <v>99</v>
      </c>
    </row>
    <row r="102" spans="1:12" x14ac:dyDescent="0.3">
      <c r="A102" t="s">
        <v>13</v>
      </c>
      <c r="B102" s="8">
        <f>INDEX(Product_Master!C2:C4,MATCH(A102,Product_Master!A2:A4,0))</f>
        <v>18</v>
      </c>
    </row>
    <row r="103" spans="1:12" x14ac:dyDescent="0.3">
      <c r="A103"/>
    </row>
    <row r="104" spans="1:12" x14ac:dyDescent="0.3">
      <c r="A104"/>
    </row>
    <row r="109" spans="1:12" ht="28.8" x14ac:dyDescent="0.3">
      <c r="A109" s="1" t="s">
        <v>53</v>
      </c>
    </row>
    <row r="111" spans="1:12" x14ac:dyDescent="0.3">
      <c r="B111" t="s">
        <v>31</v>
      </c>
      <c r="C111" t="s">
        <v>32</v>
      </c>
      <c r="D111" t="s">
        <v>33</v>
      </c>
      <c r="E111" t="s">
        <v>34</v>
      </c>
      <c r="F111" t="s">
        <v>35</v>
      </c>
      <c r="G111" t="s">
        <v>36</v>
      </c>
      <c r="H111" s="2" t="s">
        <v>85</v>
      </c>
    </row>
    <row r="112" spans="1:12" x14ac:dyDescent="0.3">
      <c r="B112">
        <v>1</v>
      </c>
      <c r="C112" t="s">
        <v>37</v>
      </c>
      <c r="D112">
        <v>78</v>
      </c>
      <c r="E112">
        <v>82</v>
      </c>
      <c r="F112">
        <v>85</v>
      </c>
      <c r="G112">
        <v>92</v>
      </c>
      <c r="H112" s="7">
        <f>AVERAGE(D112:F112)</f>
        <v>81.666666666666671</v>
      </c>
    </row>
    <row r="113" spans="1:8" x14ac:dyDescent="0.3">
      <c r="B113">
        <v>2</v>
      </c>
      <c r="C113" t="s">
        <v>38</v>
      </c>
      <c r="D113">
        <v>88</v>
      </c>
      <c r="E113">
        <v>91</v>
      </c>
      <c r="F113">
        <v>90</v>
      </c>
      <c r="G113">
        <v>96</v>
      </c>
      <c r="H113" s="7">
        <f t="shared" ref="H113:H116" si="18">AVERAGE(D113:F113)</f>
        <v>89.666666666666671</v>
      </c>
    </row>
    <row r="114" spans="1:8" x14ac:dyDescent="0.3">
      <c r="B114">
        <v>3</v>
      </c>
      <c r="C114" t="s">
        <v>39</v>
      </c>
      <c r="D114">
        <v>65</v>
      </c>
      <c r="E114">
        <v>70</v>
      </c>
      <c r="F114">
        <v>72</v>
      </c>
      <c r="G114">
        <v>85</v>
      </c>
      <c r="H114" s="7">
        <f t="shared" si="18"/>
        <v>69</v>
      </c>
    </row>
    <row r="115" spans="1:8" x14ac:dyDescent="0.3">
      <c r="B115">
        <v>4</v>
      </c>
      <c r="C115" t="s">
        <v>40</v>
      </c>
      <c r="D115">
        <v>92</v>
      </c>
      <c r="E115">
        <v>89</v>
      </c>
      <c r="F115">
        <v>94</v>
      </c>
      <c r="G115">
        <v>98</v>
      </c>
      <c r="H115" s="7">
        <f t="shared" si="18"/>
        <v>91.666666666666671</v>
      </c>
    </row>
    <row r="116" spans="1:8" x14ac:dyDescent="0.3">
      <c r="B116">
        <v>5</v>
      </c>
      <c r="C116" t="s">
        <v>41</v>
      </c>
      <c r="D116">
        <v>55</v>
      </c>
      <c r="E116">
        <v>60</v>
      </c>
      <c r="F116">
        <v>58</v>
      </c>
      <c r="G116">
        <v>80</v>
      </c>
      <c r="H116" s="7">
        <f t="shared" si="18"/>
        <v>57.666666666666664</v>
      </c>
    </row>
    <row r="118" spans="1:8" ht="28.8" x14ac:dyDescent="0.3">
      <c r="A118" s="1" t="s">
        <v>54</v>
      </c>
    </row>
    <row r="120" spans="1:8" x14ac:dyDescent="0.3">
      <c r="B120" t="s">
        <v>31</v>
      </c>
      <c r="C120" t="s">
        <v>32</v>
      </c>
      <c r="D120" t="s">
        <v>33</v>
      </c>
      <c r="E120" t="s">
        <v>34</v>
      </c>
      <c r="F120" t="s">
        <v>35</v>
      </c>
      <c r="G120" t="s">
        <v>36</v>
      </c>
      <c r="H120" t="s">
        <v>85</v>
      </c>
    </row>
    <row r="121" spans="1:8" x14ac:dyDescent="0.3">
      <c r="B121">
        <v>1</v>
      </c>
      <c r="C121" t="s">
        <v>37</v>
      </c>
      <c r="D121">
        <v>78</v>
      </c>
      <c r="E121">
        <v>82</v>
      </c>
      <c r="F121">
        <v>85</v>
      </c>
      <c r="G121">
        <v>92</v>
      </c>
      <c r="H121" s="7">
        <f>AVERAGE(D121:F121)</f>
        <v>81.666666666666671</v>
      </c>
    </row>
    <row r="122" spans="1:8" x14ac:dyDescent="0.3">
      <c r="B122">
        <v>2</v>
      </c>
      <c r="C122" t="s">
        <v>38</v>
      </c>
      <c r="D122">
        <v>88</v>
      </c>
      <c r="E122">
        <v>91</v>
      </c>
      <c r="F122">
        <v>90</v>
      </c>
      <c r="G122">
        <v>96</v>
      </c>
      <c r="H122" s="7">
        <f t="shared" ref="H122:H125" si="19">AVERAGE(D122:F122)</f>
        <v>89.666666666666671</v>
      </c>
    </row>
    <row r="123" spans="1:8" x14ac:dyDescent="0.3">
      <c r="B123">
        <v>3</v>
      </c>
      <c r="C123" t="s">
        <v>39</v>
      </c>
      <c r="D123">
        <v>65</v>
      </c>
      <c r="E123">
        <v>70</v>
      </c>
      <c r="F123">
        <v>72</v>
      </c>
      <c r="G123">
        <v>85</v>
      </c>
      <c r="H123" s="7">
        <f t="shared" si="19"/>
        <v>69</v>
      </c>
    </row>
    <row r="124" spans="1:8" x14ac:dyDescent="0.3">
      <c r="B124">
        <v>4</v>
      </c>
      <c r="C124" t="s">
        <v>40</v>
      </c>
      <c r="D124">
        <v>92</v>
      </c>
      <c r="E124">
        <v>89</v>
      </c>
      <c r="F124">
        <v>94</v>
      </c>
      <c r="G124">
        <v>98</v>
      </c>
      <c r="H124" s="7">
        <f t="shared" si="19"/>
        <v>91.666666666666671</v>
      </c>
    </row>
    <row r="125" spans="1:8" x14ac:dyDescent="0.3">
      <c r="B125">
        <v>5</v>
      </c>
      <c r="C125" t="s">
        <v>41</v>
      </c>
      <c r="D125">
        <v>55</v>
      </c>
      <c r="E125">
        <v>60</v>
      </c>
      <c r="F125">
        <v>58</v>
      </c>
      <c r="G125">
        <v>80</v>
      </c>
      <c r="H125" s="7">
        <f t="shared" si="19"/>
        <v>57.666666666666664</v>
      </c>
    </row>
    <row r="127" spans="1:8" ht="28.8" x14ac:dyDescent="0.3">
      <c r="A127" s="1" t="s">
        <v>55</v>
      </c>
    </row>
    <row r="129" spans="1:8" x14ac:dyDescent="0.3">
      <c r="B129" t="s">
        <v>31</v>
      </c>
      <c r="C129" t="s">
        <v>32</v>
      </c>
      <c r="D129" t="s">
        <v>33</v>
      </c>
      <c r="E129" t="s">
        <v>34</v>
      </c>
      <c r="F129" t="s">
        <v>35</v>
      </c>
      <c r="G129" t="s">
        <v>36</v>
      </c>
    </row>
    <row r="130" spans="1:8" x14ac:dyDescent="0.3">
      <c r="B130">
        <v>1</v>
      </c>
      <c r="C130" t="s">
        <v>37</v>
      </c>
      <c r="D130">
        <v>78</v>
      </c>
      <c r="E130">
        <v>82</v>
      </c>
      <c r="F130">
        <v>85</v>
      </c>
      <c r="G130">
        <v>92</v>
      </c>
    </row>
    <row r="131" spans="1:8" x14ac:dyDescent="0.3">
      <c r="B131">
        <v>2</v>
      </c>
      <c r="C131" t="s">
        <v>38</v>
      </c>
      <c r="D131">
        <v>88</v>
      </c>
      <c r="E131">
        <v>91</v>
      </c>
      <c r="F131">
        <v>90</v>
      </c>
      <c r="G131">
        <v>96</v>
      </c>
    </row>
    <row r="132" spans="1:8" x14ac:dyDescent="0.3">
      <c r="B132">
        <v>3</v>
      </c>
      <c r="C132" t="s">
        <v>39</v>
      </c>
      <c r="D132">
        <v>65</v>
      </c>
      <c r="E132">
        <v>70</v>
      </c>
      <c r="F132">
        <v>72</v>
      </c>
      <c r="G132">
        <v>85</v>
      </c>
    </row>
    <row r="133" spans="1:8" x14ac:dyDescent="0.3">
      <c r="B133">
        <v>4</v>
      </c>
      <c r="C133" t="s">
        <v>40</v>
      </c>
      <c r="D133">
        <v>92</v>
      </c>
      <c r="E133">
        <v>89</v>
      </c>
      <c r="F133">
        <v>94</v>
      </c>
      <c r="G133">
        <v>98</v>
      </c>
    </row>
    <row r="134" spans="1:8" x14ac:dyDescent="0.3">
      <c r="B134">
        <v>5</v>
      </c>
      <c r="C134" t="s">
        <v>41</v>
      </c>
      <c r="D134">
        <v>55</v>
      </c>
      <c r="E134">
        <v>60</v>
      </c>
      <c r="F134">
        <v>58</v>
      </c>
      <c r="G134">
        <v>80</v>
      </c>
    </row>
    <row r="137" spans="1:8" x14ac:dyDescent="0.3">
      <c r="B137" s="9" t="s">
        <v>86</v>
      </c>
      <c r="C137" s="10">
        <f>COUNTIF(G130:G134, "&gt;90")</f>
        <v>3</v>
      </c>
    </row>
    <row r="139" spans="1:8" ht="28.8" x14ac:dyDescent="0.3">
      <c r="A139" s="1" t="s">
        <v>56</v>
      </c>
    </row>
    <row r="141" spans="1:8" x14ac:dyDescent="0.3">
      <c r="B141" t="s">
        <v>31</v>
      </c>
      <c r="C141" t="s">
        <v>32</v>
      </c>
      <c r="D141" t="s">
        <v>33</v>
      </c>
      <c r="E141" t="s">
        <v>34</v>
      </c>
      <c r="F141" t="s">
        <v>35</v>
      </c>
      <c r="G141" t="s">
        <v>36</v>
      </c>
      <c r="H141" s="2" t="s">
        <v>87</v>
      </c>
    </row>
    <row r="142" spans="1:8" x14ac:dyDescent="0.3">
      <c r="B142">
        <v>1</v>
      </c>
      <c r="C142" t="s">
        <v>37</v>
      </c>
      <c r="D142">
        <v>78</v>
      </c>
      <c r="E142">
        <v>82</v>
      </c>
      <c r="F142">
        <v>85</v>
      </c>
      <c r="G142">
        <v>92</v>
      </c>
      <c r="H142" t="str">
        <f>IF(G142&gt;=85, "Eligible", "Not Eligible")</f>
        <v>Eligible</v>
      </c>
    </row>
    <row r="143" spans="1:8" x14ac:dyDescent="0.3">
      <c r="B143">
        <v>2</v>
      </c>
      <c r="C143" t="s">
        <v>38</v>
      </c>
      <c r="D143">
        <v>88</v>
      </c>
      <c r="E143">
        <v>91</v>
      </c>
      <c r="F143">
        <v>90</v>
      </c>
      <c r="G143">
        <v>96</v>
      </c>
      <c r="H143" t="str">
        <f t="shared" ref="H143:H146" si="20">IF(G143&gt;=85, "Eligible", "Not Eligible")</f>
        <v>Eligible</v>
      </c>
    </row>
    <row r="144" spans="1:8" x14ac:dyDescent="0.3">
      <c r="B144">
        <v>3</v>
      </c>
      <c r="C144" t="s">
        <v>39</v>
      </c>
      <c r="D144">
        <v>65</v>
      </c>
      <c r="E144">
        <v>70</v>
      </c>
      <c r="F144">
        <v>72</v>
      </c>
      <c r="G144">
        <v>85</v>
      </c>
      <c r="H144" t="str">
        <f t="shared" si="20"/>
        <v>Eligible</v>
      </c>
    </row>
    <row r="145" spans="1:8" x14ac:dyDescent="0.3">
      <c r="B145">
        <v>4</v>
      </c>
      <c r="C145" t="s">
        <v>40</v>
      </c>
      <c r="D145">
        <v>92</v>
      </c>
      <c r="E145">
        <v>89</v>
      </c>
      <c r="F145">
        <v>94</v>
      </c>
      <c r="G145">
        <v>98</v>
      </c>
      <c r="H145" t="str">
        <f t="shared" si="20"/>
        <v>Eligible</v>
      </c>
    </row>
    <row r="146" spans="1:8" x14ac:dyDescent="0.3">
      <c r="B146">
        <v>5</v>
      </c>
      <c r="C146" t="s">
        <v>41</v>
      </c>
      <c r="D146">
        <v>55</v>
      </c>
      <c r="E146">
        <v>60</v>
      </c>
      <c r="F146">
        <v>58</v>
      </c>
      <c r="G146">
        <v>80</v>
      </c>
      <c r="H146" t="str">
        <f t="shared" si="20"/>
        <v>Not Eligible</v>
      </c>
    </row>
    <row r="148" spans="1:8" ht="28.8" x14ac:dyDescent="0.3">
      <c r="A148" s="1" t="s">
        <v>57</v>
      </c>
    </row>
    <row r="149" spans="1:8" x14ac:dyDescent="0.3">
      <c r="B149" s="11" t="s">
        <v>7</v>
      </c>
      <c r="C149" t="s">
        <v>98</v>
      </c>
    </row>
    <row r="150" spans="1:8" x14ac:dyDescent="0.3">
      <c r="B150" s="12" t="s">
        <v>13</v>
      </c>
      <c r="C150">
        <v>225000</v>
      </c>
    </row>
    <row r="151" spans="1:8" x14ac:dyDescent="0.3">
      <c r="B151" s="12" t="s">
        <v>17</v>
      </c>
      <c r="C151">
        <v>135000</v>
      </c>
    </row>
    <row r="152" spans="1:8" x14ac:dyDescent="0.3">
      <c r="B152" s="12" t="s">
        <v>21</v>
      </c>
      <c r="C152">
        <v>54000</v>
      </c>
    </row>
    <row r="153" spans="1:8" x14ac:dyDescent="0.3">
      <c r="B153" s="12" t="s">
        <v>97</v>
      </c>
      <c r="C153">
        <v>414000</v>
      </c>
    </row>
    <row r="158" spans="1:8" ht="28.8" x14ac:dyDescent="0.3">
      <c r="A158" s="1" t="s">
        <v>58</v>
      </c>
    </row>
    <row r="169" spans="1:1" ht="28.8" x14ac:dyDescent="0.3">
      <c r="A169" s="1" t="s">
        <v>59</v>
      </c>
    </row>
    <row r="179" spans="1:8" ht="28.8" x14ac:dyDescent="0.3">
      <c r="A179" s="1" t="s">
        <v>60</v>
      </c>
    </row>
    <row r="181" spans="1:8" x14ac:dyDescent="0.3">
      <c r="C181" t="s">
        <v>31</v>
      </c>
      <c r="D181" t="s">
        <v>32</v>
      </c>
      <c r="E181" t="s">
        <v>33</v>
      </c>
      <c r="F181" t="s">
        <v>34</v>
      </c>
      <c r="G181" t="s">
        <v>35</v>
      </c>
      <c r="H181" t="s">
        <v>36</v>
      </c>
    </row>
    <row r="182" spans="1:8" x14ac:dyDescent="0.3">
      <c r="C182">
        <v>1</v>
      </c>
      <c r="D182" t="s">
        <v>37</v>
      </c>
      <c r="E182">
        <v>78</v>
      </c>
      <c r="F182">
        <v>82</v>
      </c>
      <c r="G182">
        <v>85</v>
      </c>
      <c r="H182">
        <v>92</v>
      </c>
    </row>
    <row r="183" spans="1:8" x14ac:dyDescent="0.3">
      <c r="C183">
        <v>2</v>
      </c>
      <c r="D183" t="s">
        <v>38</v>
      </c>
      <c r="E183">
        <v>88</v>
      </c>
      <c r="F183">
        <v>91</v>
      </c>
      <c r="G183">
        <v>90</v>
      </c>
      <c r="H183">
        <v>96</v>
      </c>
    </row>
    <row r="184" spans="1:8" x14ac:dyDescent="0.3">
      <c r="C184">
        <v>3</v>
      </c>
      <c r="D184" t="s">
        <v>39</v>
      </c>
      <c r="E184">
        <v>65</v>
      </c>
      <c r="F184">
        <v>70</v>
      </c>
      <c r="G184">
        <v>72</v>
      </c>
      <c r="H184">
        <v>85</v>
      </c>
    </row>
    <row r="185" spans="1:8" x14ac:dyDescent="0.3">
      <c r="C185">
        <v>4</v>
      </c>
      <c r="D185" t="s">
        <v>40</v>
      </c>
      <c r="E185">
        <v>92</v>
      </c>
      <c r="F185">
        <v>89</v>
      </c>
      <c r="G185">
        <v>94</v>
      </c>
      <c r="H185">
        <v>98</v>
      </c>
    </row>
    <row r="186" spans="1:8" x14ac:dyDescent="0.3">
      <c r="C186">
        <v>5</v>
      </c>
      <c r="D186" t="s">
        <v>41</v>
      </c>
      <c r="E186">
        <v>55</v>
      </c>
      <c r="F186">
        <v>60</v>
      </c>
      <c r="G186">
        <v>58</v>
      </c>
      <c r="H186">
        <v>80</v>
      </c>
    </row>
    <row r="194" spans="1:8" x14ac:dyDescent="0.3">
      <c r="A194" s="1" t="s">
        <v>61</v>
      </c>
    </row>
    <row r="196" spans="1:8" x14ac:dyDescent="0.3">
      <c r="C196" t="s">
        <v>31</v>
      </c>
      <c r="D196" t="s">
        <v>32</v>
      </c>
      <c r="E196" t="s">
        <v>33</v>
      </c>
      <c r="F196" t="s">
        <v>34</v>
      </c>
      <c r="G196" t="s">
        <v>35</v>
      </c>
      <c r="H196" t="s">
        <v>36</v>
      </c>
    </row>
    <row r="197" spans="1:8" x14ac:dyDescent="0.3">
      <c r="C197">
        <v>1</v>
      </c>
      <c r="D197" t="s">
        <v>37</v>
      </c>
      <c r="E197">
        <v>78</v>
      </c>
      <c r="F197">
        <v>82</v>
      </c>
      <c r="G197">
        <v>85</v>
      </c>
      <c r="H197">
        <v>92</v>
      </c>
    </row>
    <row r="198" spans="1:8" x14ac:dyDescent="0.3">
      <c r="C198">
        <v>2</v>
      </c>
      <c r="D198" t="s">
        <v>38</v>
      </c>
      <c r="E198">
        <v>88</v>
      </c>
      <c r="F198">
        <v>91</v>
      </c>
      <c r="G198">
        <v>90</v>
      </c>
      <c r="H198">
        <v>96</v>
      </c>
    </row>
    <row r="199" spans="1:8" x14ac:dyDescent="0.3">
      <c r="C199">
        <v>3</v>
      </c>
      <c r="D199" t="s">
        <v>39</v>
      </c>
      <c r="E199">
        <v>65</v>
      </c>
      <c r="F199">
        <v>70</v>
      </c>
      <c r="G199">
        <v>72</v>
      </c>
      <c r="H199">
        <v>85</v>
      </c>
    </row>
    <row r="200" spans="1:8" x14ac:dyDescent="0.3">
      <c r="C200">
        <v>4</v>
      </c>
      <c r="D200" t="s">
        <v>40</v>
      </c>
      <c r="E200">
        <v>92</v>
      </c>
      <c r="F200">
        <v>89</v>
      </c>
      <c r="G200">
        <v>94</v>
      </c>
      <c r="H200">
        <v>98</v>
      </c>
    </row>
    <row r="201" spans="1:8" x14ac:dyDescent="0.3">
      <c r="C201">
        <v>5</v>
      </c>
      <c r="D201" t="s">
        <v>41</v>
      </c>
      <c r="E201">
        <v>55</v>
      </c>
      <c r="F201">
        <v>60</v>
      </c>
      <c r="G201">
        <v>58</v>
      </c>
      <c r="H201">
        <v>80</v>
      </c>
    </row>
    <row r="204" spans="1:8" x14ac:dyDescent="0.3">
      <c r="F204" s="8">
        <f>MEDIAN(F197:F201)</f>
        <v>82</v>
      </c>
    </row>
    <row r="206" spans="1:8" ht="28.8" x14ac:dyDescent="0.3">
      <c r="A206" s="1" t="s">
        <v>62</v>
      </c>
    </row>
    <row r="208" spans="1:8" x14ac:dyDescent="0.3">
      <c r="C208" t="s">
        <v>31</v>
      </c>
      <c r="D208" t="s">
        <v>32</v>
      </c>
      <c r="E208" t="s">
        <v>33</v>
      </c>
      <c r="F208" t="s">
        <v>34</v>
      </c>
      <c r="G208" t="s">
        <v>35</v>
      </c>
      <c r="H208" t="s">
        <v>36</v>
      </c>
    </row>
    <row r="209" spans="1:8" x14ac:dyDescent="0.3">
      <c r="C209">
        <v>1</v>
      </c>
      <c r="D209" t="s">
        <v>37</v>
      </c>
      <c r="E209">
        <v>78</v>
      </c>
      <c r="F209">
        <v>82</v>
      </c>
      <c r="G209">
        <v>85</v>
      </c>
      <c r="H209">
        <v>92</v>
      </c>
    </row>
    <row r="210" spans="1:8" x14ac:dyDescent="0.3">
      <c r="C210">
        <v>2</v>
      </c>
      <c r="D210" t="s">
        <v>38</v>
      </c>
      <c r="E210">
        <v>88</v>
      </c>
      <c r="F210">
        <v>91</v>
      </c>
      <c r="G210">
        <v>90</v>
      </c>
      <c r="H210">
        <v>96</v>
      </c>
    </row>
    <row r="211" spans="1:8" x14ac:dyDescent="0.3">
      <c r="C211">
        <v>3</v>
      </c>
      <c r="D211" t="s">
        <v>39</v>
      </c>
      <c r="E211">
        <v>65</v>
      </c>
      <c r="F211">
        <v>70</v>
      </c>
      <c r="G211">
        <v>72</v>
      </c>
      <c r="H211">
        <v>85</v>
      </c>
    </row>
    <row r="212" spans="1:8" x14ac:dyDescent="0.3">
      <c r="C212">
        <v>4</v>
      </c>
      <c r="D212" t="s">
        <v>40</v>
      </c>
      <c r="E212">
        <v>92</v>
      </c>
      <c r="F212">
        <v>89</v>
      </c>
      <c r="G212">
        <v>94</v>
      </c>
      <c r="H212">
        <v>98</v>
      </c>
    </row>
    <row r="213" spans="1:8" x14ac:dyDescent="0.3">
      <c r="C213">
        <v>5</v>
      </c>
      <c r="D213" t="s">
        <v>41</v>
      </c>
      <c r="E213">
        <v>55</v>
      </c>
      <c r="F213">
        <v>60</v>
      </c>
      <c r="G213">
        <v>58</v>
      </c>
      <c r="H213">
        <v>80</v>
      </c>
    </row>
    <row r="216" spans="1:8" x14ac:dyDescent="0.3">
      <c r="F216" s="8">
        <f>_xlfn.STDEV.P(G209:G213)</f>
        <v>13.181805642627264</v>
      </c>
    </row>
    <row r="218" spans="1:8" ht="28.8" x14ac:dyDescent="0.3">
      <c r="A218" s="1" t="s">
        <v>63</v>
      </c>
    </row>
    <row r="220" spans="1:8" x14ac:dyDescent="0.3">
      <c r="B220" t="s">
        <v>31</v>
      </c>
      <c r="C220" t="s">
        <v>32</v>
      </c>
      <c r="D220" t="s">
        <v>33</v>
      </c>
      <c r="E220" t="s">
        <v>34</v>
      </c>
      <c r="F220" t="s">
        <v>35</v>
      </c>
      <c r="G220" t="s">
        <v>36</v>
      </c>
      <c r="H220" s="2" t="s">
        <v>88</v>
      </c>
    </row>
    <row r="221" spans="1:8" x14ac:dyDescent="0.3">
      <c r="B221">
        <v>1</v>
      </c>
      <c r="C221" t="s">
        <v>37</v>
      </c>
      <c r="D221">
        <v>78</v>
      </c>
      <c r="E221">
        <v>82</v>
      </c>
      <c r="F221">
        <v>85</v>
      </c>
      <c r="G221">
        <v>92</v>
      </c>
      <c r="H221" t="str">
        <f>_xlfn.CONCAT(B221,C221)</f>
        <v>1Rahul</v>
      </c>
    </row>
    <row r="222" spans="1:8" x14ac:dyDescent="0.3">
      <c r="B222">
        <v>2</v>
      </c>
      <c r="C222" t="s">
        <v>38</v>
      </c>
      <c r="D222">
        <v>88</v>
      </c>
      <c r="E222">
        <v>91</v>
      </c>
      <c r="F222">
        <v>90</v>
      </c>
      <c r="G222">
        <v>96</v>
      </c>
      <c r="H222" t="str">
        <f t="shared" ref="H222:H225" si="21">_xlfn.CONCAT(B222,C222)</f>
        <v>2Sneha</v>
      </c>
    </row>
    <row r="223" spans="1:8" x14ac:dyDescent="0.3">
      <c r="B223">
        <v>3</v>
      </c>
      <c r="C223" t="s">
        <v>39</v>
      </c>
      <c r="D223">
        <v>65</v>
      </c>
      <c r="E223">
        <v>70</v>
      </c>
      <c r="F223">
        <v>72</v>
      </c>
      <c r="G223">
        <v>85</v>
      </c>
      <c r="H223" t="str">
        <f t="shared" si="21"/>
        <v>3Arjun</v>
      </c>
    </row>
    <row r="224" spans="1:8" x14ac:dyDescent="0.3">
      <c r="B224">
        <v>4</v>
      </c>
      <c r="C224" t="s">
        <v>40</v>
      </c>
      <c r="D224">
        <v>92</v>
      </c>
      <c r="E224">
        <v>89</v>
      </c>
      <c r="F224">
        <v>94</v>
      </c>
      <c r="G224">
        <v>98</v>
      </c>
      <c r="H224" t="str">
        <f t="shared" si="21"/>
        <v>4Pooja</v>
      </c>
    </row>
    <row r="225" spans="1:12" x14ac:dyDescent="0.3">
      <c r="B225">
        <v>5</v>
      </c>
      <c r="C225" t="s">
        <v>41</v>
      </c>
      <c r="D225">
        <v>55</v>
      </c>
      <c r="E225">
        <v>60</v>
      </c>
      <c r="F225">
        <v>58</v>
      </c>
      <c r="G225">
        <v>80</v>
      </c>
      <c r="H225" t="str">
        <f t="shared" si="21"/>
        <v>5Vikas</v>
      </c>
    </row>
    <row r="227" spans="1:12" ht="28.8" x14ac:dyDescent="0.3">
      <c r="A227" s="1" t="s">
        <v>64</v>
      </c>
    </row>
    <row r="229" spans="1:12" x14ac:dyDescent="0.3">
      <c r="B229" t="s">
        <v>4</v>
      </c>
      <c r="C229" t="s">
        <v>5</v>
      </c>
      <c r="D229" t="s">
        <v>6</v>
      </c>
      <c r="E229" t="s">
        <v>7</v>
      </c>
      <c r="F229" t="s">
        <v>8</v>
      </c>
      <c r="G229" t="s">
        <v>9</v>
      </c>
      <c r="H229" t="s">
        <v>10</v>
      </c>
      <c r="I229" s="2" t="s">
        <v>89</v>
      </c>
    </row>
    <row r="230" spans="1:12" x14ac:dyDescent="0.3">
      <c r="B230">
        <v>301</v>
      </c>
      <c r="C230" t="s">
        <v>11</v>
      </c>
      <c r="D230" t="s">
        <v>12</v>
      </c>
      <c r="E230" t="s">
        <v>13</v>
      </c>
      <c r="F230">
        <v>2</v>
      </c>
      <c r="G230">
        <v>45000</v>
      </c>
      <c r="H230" t="s">
        <v>14</v>
      </c>
      <c r="I230" t="str">
        <f>LEFT(D230,2)</f>
        <v>Am</v>
      </c>
    </row>
    <row r="231" spans="1:12" x14ac:dyDescent="0.3">
      <c r="B231">
        <v>302</v>
      </c>
      <c r="C231" t="s">
        <v>15</v>
      </c>
      <c r="D231" t="s">
        <v>16</v>
      </c>
      <c r="E231" t="s">
        <v>17</v>
      </c>
      <c r="F231">
        <v>5</v>
      </c>
      <c r="G231">
        <v>15000</v>
      </c>
      <c r="H231" t="s">
        <v>18</v>
      </c>
      <c r="I231" t="str">
        <f t="shared" ref="I231:I235" si="22">LEFT(D231,2)</f>
        <v>Ri</v>
      </c>
    </row>
    <row r="232" spans="1:12" x14ac:dyDescent="0.3">
      <c r="B232">
        <v>303</v>
      </c>
      <c r="C232" t="s">
        <v>19</v>
      </c>
      <c r="D232" t="s">
        <v>20</v>
      </c>
      <c r="E232" t="s">
        <v>21</v>
      </c>
      <c r="F232">
        <v>3</v>
      </c>
      <c r="G232">
        <v>18000</v>
      </c>
      <c r="H232" t="s">
        <v>22</v>
      </c>
      <c r="I232" t="str">
        <f t="shared" si="22"/>
        <v>Ku</v>
      </c>
    </row>
    <row r="233" spans="1:12" x14ac:dyDescent="0.3">
      <c r="B233">
        <v>304</v>
      </c>
      <c r="C233" t="s">
        <v>23</v>
      </c>
      <c r="D233" t="s">
        <v>24</v>
      </c>
      <c r="E233" t="s">
        <v>13</v>
      </c>
      <c r="F233">
        <v>1</v>
      </c>
      <c r="G233">
        <v>45000</v>
      </c>
      <c r="H233" t="s">
        <v>25</v>
      </c>
      <c r="I233" t="str">
        <f t="shared" si="22"/>
        <v>Ne</v>
      </c>
    </row>
    <row r="234" spans="1:12" x14ac:dyDescent="0.3">
      <c r="B234">
        <v>305</v>
      </c>
      <c r="C234" t="s">
        <v>11</v>
      </c>
      <c r="D234" t="s">
        <v>12</v>
      </c>
      <c r="E234" t="s">
        <v>17</v>
      </c>
      <c r="F234">
        <v>4</v>
      </c>
      <c r="G234">
        <v>15000</v>
      </c>
      <c r="H234" t="s">
        <v>26</v>
      </c>
      <c r="I234" t="str">
        <f t="shared" si="22"/>
        <v>Am</v>
      </c>
    </row>
    <row r="235" spans="1:12" x14ac:dyDescent="0.3">
      <c r="B235">
        <v>306</v>
      </c>
      <c r="C235" t="s">
        <v>15</v>
      </c>
      <c r="D235" t="s">
        <v>16</v>
      </c>
      <c r="E235" t="s">
        <v>13</v>
      </c>
      <c r="F235">
        <v>2</v>
      </c>
      <c r="G235">
        <v>45000</v>
      </c>
      <c r="H235" t="s">
        <v>27</v>
      </c>
      <c r="I235" t="str">
        <f t="shared" si="22"/>
        <v>Ri</v>
      </c>
    </row>
    <row r="237" spans="1:12" ht="28.8" x14ac:dyDescent="0.3">
      <c r="A237" s="1" t="s">
        <v>65</v>
      </c>
    </row>
    <row r="239" spans="1:12" x14ac:dyDescent="0.3">
      <c r="B239" t="s">
        <v>4</v>
      </c>
      <c r="C239" t="s">
        <v>5</v>
      </c>
      <c r="D239" t="s">
        <v>6</v>
      </c>
      <c r="E239" t="s">
        <v>7</v>
      </c>
      <c r="F239" t="s">
        <v>8</v>
      </c>
      <c r="G239" t="s">
        <v>9</v>
      </c>
      <c r="H239" t="s">
        <v>10</v>
      </c>
      <c r="I239" t="s">
        <v>73</v>
      </c>
      <c r="J239" t="s">
        <v>74</v>
      </c>
      <c r="K239" t="s">
        <v>75</v>
      </c>
      <c r="L239" s="2" t="s">
        <v>76</v>
      </c>
    </row>
    <row r="240" spans="1:12" x14ac:dyDescent="0.3">
      <c r="B240">
        <v>301</v>
      </c>
      <c r="C240" t="s">
        <v>11</v>
      </c>
      <c r="D240" t="s">
        <v>12</v>
      </c>
      <c r="E240" t="s">
        <v>13</v>
      </c>
      <c r="F240">
        <v>2</v>
      </c>
      <c r="G240">
        <v>45000</v>
      </c>
      <c r="H240" t="s">
        <v>14</v>
      </c>
      <c r="I240">
        <f>F240*G240</f>
        <v>90000</v>
      </c>
      <c r="J240">
        <f>VLOOKUP(E240,Product_Master!A:C,3,0)</f>
        <v>18</v>
      </c>
      <c r="K240">
        <f>I240*J240/100</f>
        <v>16200</v>
      </c>
      <c r="L240">
        <f>I240+K240</f>
        <v>106200</v>
      </c>
    </row>
    <row r="241" spans="1:12" x14ac:dyDescent="0.3">
      <c r="B241">
        <v>302</v>
      </c>
      <c r="C241" t="s">
        <v>15</v>
      </c>
      <c r="D241" t="s">
        <v>16</v>
      </c>
      <c r="E241" t="s">
        <v>17</v>
      </c>
      <c r="F241">
        <v>5</v>
      </c>
      <c r="G241">
        <v>15000</v>
      </c>
      <c r="H241" t="s">
        <v>18</v>
      </c>
      <c r="I241">
        <f t="shared" ref="I241:I245" si="23">F241*G241</f>
        <v>75000</v>
      </c>
      <c r="J241">
        <f>VLOOKUP(E241,Product_Master!A:C,3,0)</f>
        <v>12</v>
      </c>
      <c r="K241">
        <f t="shared" ref="K241:K245" si="24">I241*J241/100</f>
        <v>9000</v>
      </c>
      <c r="L241">
        <f t="shared" ref="L241:L245" si="25">I241+K241</f>
        <v>84000</v>
      </c>
    </row>
    <row r="242" spans="1:12" x14ac:dyDescent="0.3">
      <c r="B242">
        <v>303</v>
      </c>
      <c r="C242" t="s">
        <v>19</v>
      </c>
      <c r="D242" t="s">
        <v>20</v>
      </c>
      <c r="E242" t="s">
        <v>21</v>
      </c>
      <c r="F242">
        <v>3</v>
      </c>
      <c r="G242">
        <v>18000</v>
      </c>
      <c r="H242" t="s">
        <v>22</v>
      </c>
      <c r="I242">
        <f t="shared" si="23"/>
        <v>54000</v>
      </c>
      <c r="J242">
        <f>VLOOKUP(E242,Product_Master!A:C,3,0)</f>
        <v>12</v>
      </c>
      <c r="K242">
        <f t="shared" si="24"/>
        <v>6480</v>
      </c>
      <c r="L242">
        <f t="shared" si="25"/>
        <v>60480</v>
      </c>
    </row>
    <row r="243" spans="1:12" x14ac:dyDescent="0.3">
      <c r="B243">
        <v>304</v>
      </c>
      <c r="C243" t="s">
        <v>23</v>
      </c>
      <c r="D243" t="s">
        <v>24</v>
      </c>
      <c r="E243" t="s">
        <v>13</v>
      </c>
      <c r="F243">
        <v>1</v>
      </c>
      <c r="G243">
        <v>45000</v>
      </c>
      <c r="H243" t="s">
        <v>25</v>
      </c>
      <c r="I243">
        <f t="shared" si="23"/>
        <v>45000</v>
      </c>
      <c r="J243">
        <f>VLOOKUP(E243,Product_Master!A:C,3,0)</f>
        <v>18</v>
      </c>
      <c r="K243">
        <f t="shared" si="24"/>
        <v>8100</v>
      </c>
      <c r="L243">
        <f t="shared" si="25"/>
        <v>53100</v>
      </c>
    </row>
    <row r="244" spans="1:12" x14ac:dyDescent="0.3">
      <c r="B244">
        <v>305</v>
      </c>
      <c r="C244" t="s">
        <v>11</v>
      </c>
      <c r="D244" t="s">
        <v>12</v>
      </c>
      <c r="E244" t="s">
        <v>17</v>
      </c>
      <c r="F244">
        <v>4</v>
      </c>
      <c r="G244">
        <v>15000</v>
      </c>
      <c r="H244" t="s">
        <v>26</v>
      </c>
      <c r="I244">
        <f t="shared" si="23"/>
        <v>60000</v>
      </c>
      <c r="J244">
        <f>VLOOKUP(E244,Product_Master!A:C,3,0)</f>
        <v>12</v>
      </c>
      <c r="K244">
        <f t="shared" si="24"/>
        <v>7200</v>
      </c>
      <c r="L244">
        <f t="shared" si="25"/>
        <v>67200</v>
      </c>
    </row>
    <row r="245" spans="1:12" x14ac:dyDescent="0.3">
      <c r="B245">
        <v>306</v>
      </c>
      <c r="C245" t="s">
        <v>15</v>
      </c>
      <c r="D245" t="s">
        <v>16</v>
      </c>
      <c r="E245" t="s">
        <v>13</v>
      </c>
      <c r="F245">
        <v>2</v>
      </c>
      <c r="G245">
        <v>45000</v>
      </c>
      <c r="H245" t="s">
        <v>27</v>
      </c>
      <c r="I245">
        <f t="shared" si="23"/>
        <v>90000</v>
      </c>
      <c r="J245">
        <f>VLOOKUP(E245,Product_Master!A:C,3,0)</f>
        <v>18</v>
      </c>
      <c r="K245">
        <f t="shared" si="24"/>
        <v>16200</v>
      </c>
      <c r="L245">
        <f t="shared" si="25"/>
        <v>106200</v>
      </c>
    </row>
    <row r="247" spans="1:12" ht="28.8" x14ac:dyDescent="0.3">
      <c r="A247" s="1" t="s">
        <v>66</v>
      </c>
    </row>
    <row r="249" spans="1:12" x14ac:dyDescent="0.3">
      <c r="B249" t="s">
        <v>4</v>
      </c>
      <c r="C249" t="s">
        <v>5</v>
      </c>
      <c r="D249" t="s">
        <v>6</v>
      </c>
      <c r="E249" t="s">
        <v>7</v>
      </c>
      <c r="F249" t="s">
        <v>8</v>
      </c>
      <c r="G249" t="s">
        <v>9</v>
      </c>
      <c r="H249" t="s">
        <v>10</v>
      </c>
      <c r="I249" s="2" t="s">
        <v>90</v>
      </c>
    </row>
    <row r="250" spans="1:12" x14ac:dyDescent="0.3">
      <c r="B250">
        <v>301</v>
      </c>
      <c r="C250" t="s">
        <v>11</v>
      </c>
      <c r="D250" t="s">
        <v>12</v>
      </c>
      <c r="E250" t="s">
        <v>13</v>
      </c>
      <c r="F250">
        <v>2</v>
      </c>
      <c r="G250">
        <v>45000</v>
      </c>
      <c r="H250" t="s">
        <v>14</v>
      </c>
      <c r="I250" t="str">
        <f>IF(AND(E250="Laptop", F250&gt;1), "Yes", "No")</f>
        <v>Yes</v>
      </c>
    </row>
    <row r="251" spans="1:12" x14ac:dyDescent="0.3">
      <c r="B251">
        <v>302</v>
      </c>
      <c r="C251" t="s">
        <v>15</v>
      </c>
      <c r="D251" t="s">
        <v>16</v>
      </c>
      <c r="E251" t="s">
        <v>17</v>
      </c>
      <c r="F251">
        <v>5</v>
      </c>
      <c r="G251">
        <v>15000</v>
      </c>
      <c r="H251" t="s">
        <v>18</v>
      </c>
      <c r="I251" t="str">
        <f t="shared" ref="I251:I255" si="26">IF(AND(E251="Laptop", F251&gt;1), "Yes", "No")</f>
        <v>No</v>
      </c>
    </row>
    <row r="252" spans="1:12" x14ac:dyDescent="0.3">
      <c r="B252">
        <v>303</v>
      </c>
      <c r="C252" t="s">
        <v>19</v>
      </c>
      <c r="D252" t="s">
        <v>20</v>
      </c>
      <c r="E252" t="s">
        <v>21</v>
      </c>
      <c r="F252">
        <v>3</v>
      </c>
      <c r="G252">
        <v>18000</v>
      </c>
      <c r="H252" t="s">
        <v>22</v>
      </c>
      <c r="I252" t="str">
        <f t="shared" si="26"/>
        <v>No</v>
      </c>
    </row>
    <row r="253" spans="1:12" x14ac:dyDescent="0.3">
      <c r="B253">
        <v>304</v>
      </c>
      <c r="C253" t="s">
        <v>23</v>
      </c>
      <c r="D253" t="s">
        <v>24</v>
      </c>
      <c r="E253" t="s">
        <v>13</v>
      </c>
      <c r="F253">
        <v>1</v>
      </c>
      <c r="G253">
        <v>45000</v>
      </c>
      <c r="H253" t="s">
        <v>25</v>
      </c>
      <c r="I253" t="str">
        <f t="shared" si="26"/>
        <v>No</v>
      </c>
    </row>
    <row r="254" spans="1:12" x14ac:dyDescent="0.3">
      <c r="B254">
        <v>305</v>
      </c>
      <c r="C254" t="s">
        <v>11</v>
      </c>
      <c r="D254" t="s">
        <v>12</v>
      </c>
      <c r="E254" t="s">
        <v>17</v>
      </c>
      <c r="F254">
        <v>4</v>
      </c>
      <c r="G254">
        <v>15000</v>
      </c>
      <c r="H254" t="s">
        <v>26</v>
      </c>
      <c r="I254" t="str">
        <f t="shared" si="26"/>
        <v>No</v>
      </c>
    </row>
    <row r="255" spans="1:12" x14ac:dyDescent="0.3">
      <c r="B255">
        <v>306</v>
      </c>
      <c r="C255" t="s">
        <v>15</v>
      </c>
      <c r="D255" t="s">
        <v>16</v>
      </c>
      <c r="E255" t="s">
        <v>13</v>
      </c>
      <c r="F255">
        <v>2</v>
      </c>
      <c r="G255">
        <v>45000</v>
      </c>
      <c r="H255" t="s">
        <v>27</v>
      </c>
      <c r="I255" t="str">
        <f t="shared" si="26"/>
        <v>Yes</v>
      </c>
    </row>
    <row r="257" spans="1:9" ht="28.8" x14ac:dyDescent="0.3">
      <c r="A257" s="1" t="s">
        <v>67</v>
      </c>
    </row>
    <row r="259" spans="1:9" x14ac:dyDescent="0.3">
      <c r="B259" t="s">
        <v>4</v>
      </c>
      <c r="C259" t="s">
        <v>5</v>
      </c>
      <c r="D259" t="s">
        <v>6</v>
      </c>
      <c r="E259" t="s">
        <v>7</v>
      </c>
      <c r="F259" t="s">
        <v>8</v>
      </c>
      <c r="G259" t="s">
        <v>9</v>
      </c>
      <c r="H259" t="s">
        <v>10</v>
      </c>
    </row>
    <row r="260" spans="1:9" x14ac:dyDescent="0.3">
      <c r="B260">
        <v>301</v>
      </c>
      <c r="C260" t="s">
        <v>11</v>
      </c>
      <c r="D260" t="s">
        <v>12</v>
      </c>
      <c r="E260" t="s">
        <v>13</v>
      </c>
      <c r="F260">
        <v>2</v>
      </c>
      <c r="G260">
        <v>45000</v>
      </c>
      <c r="H260" t="s">
        <v>14</v>
      </c>
    </row>
    <row r="261" spans="1:9" x14ac:dyDescent="0.3">
      <c r="B261">
        <v>302</v>
      </c>
      <c r="C261" t="s">
        <v>15</v>
      </c>
      <c r="D261" t="s">
        <v>16</v>
      </c>
      <c r="E261" t="s">
        <v>17</v>
      </c>
      <c r="F261">
        <v>5</v>
      </c>
      <c r="G261">
        <v>15000</v>
      </c>
      <c r="H261" t="s">
        <v>18</v>
      </c>
    </row>
    <row r="262" spans="1:9" x14ac:dyDescent="0.3">
      <c r="B262">
        <v>303</v>
      </c>
      <c r="C262" t="s">
        <v>19</v>
      </c>
      <c r="D262" t="s">
        <v>20</v>
      </c>
      <c r="E262" t="s">
        <v>21</v>
      </c>
      <c r="F262">
        <v>3</v>
      </c>
      <c r="G262">
        <v>18000</v>
      </c>
      <c r="H262" t="s">
        <v>22</v>
      </c>
    </row>
    <row r="263" spans="1:9" x14ac:dyDescent="0.3">
      <c r="B263">
        <v>304</v>
      </c>
      <c r="C263" t="s">
        <v>23</v>
      </c>
      <c r="D263" t="s">
        <v>24</v>
      </c>
      <c r="E263" t="s">
        <v>13</v>
      </c>
      <c r="F263">
        <v>1</v>
      </c>
      <c r="G263">
        <v>45000</v>
      </c>
      <c r="H263" t="s">
        <v>25</v>
      </c>
    </row>
    <row r="264" spans="1:9" x14ac:dyDescent="0.3">
      <c r="B264">
        <v>305</v>
      </c>
      <c r="C264" t="s">
        <v>11</v>
      </c>
      <c r="D264" t="s">
        <v>12</v>
      </c>
      <c r="E264" t="s">
        <v>17</v>
      </c>
      <c r="F264">
        <v>4</v>
      </c>
      <c r="G264">
        <v>15000</v>
      </c>
      <c r="H264" t="s">
        <v>26</v>
      </c>
    </row>
    <row r="265" spans="1:9" x14ac:dyDescent="0.3">
      <c r="B265">
        <v>306</v>
      </c>
      <c r="C265" t="s">
        <v>15</v>
      </c>
      <c r="D265" t="s">
        <v>16</v>
      </c>
      <c r="E265" t="s">
        <v>13</v>
      </c>
      <c r="F265">
        <v>2</v>
      </c>
      <c r="G265">
        <v>45000</v>
      </c>
      <c r="H265" t="s">
        <v>27</v>
      </c>
    </row>
    <row r="268" spans="1:9" x14ac:dyDescent="0.3">
      <c r="F268" s="8">
        <f>COUNTIFS(E260:E265, "Laptop", C260:C265, "North")</f>
        <v>1</v>
      </c>
    </row>
    <row r="270" spans="1:9" ht="28.8" x14ac:dyDescent="0.3">
      <c r="A270" s="1" t="s">
        <v>68</v>
      </c>
    </row>
    <row r="272" spans="1:9" x14ac:dyDescent="0.3">
      <c r="B272" t="s">
        <v>4</v>
      </c>
      <c r="C272" t="s">
        <v>5</v>
      </c>
      <c r="D272" t="s">
        <v>6</v>
      </c>
      <c r="E272" t="s">
        <v>7</v>
      </c>
      <c r="F272" t="s">
        <v>8</v>
      </c>
      <c r="G272" t="s">
        <v>9</v>
      </c>
      <c r="H272" t="s">
        <v>10</v>
      </c>
      <c r="I272" s="2" t="s">
        <v>91</v>
      </c>
    </row>
    <row r="273" spans="1:9" x14ac:dyDescent="0.3">
      <c r="B273">
        <v>301</v>
      </c>
      <c r="C273" t="s">
        <v>11</v>
      </c>
      <c r="D273" t="s">
        <v>12</v>
      </c>
      <c r="E273" t="s">
        <v>13</v>
      </c>
      <c r="F273">
        <v>2</v>
      </c>
      <c r="G273">
        <v>45000</v>
      </c>
      <c r="H273" t="s">
        <v>14</v>
      </c>
      <c r="I273">
        <f>ROUND(G273,3)</f>
        <v>45000</v>
      </c>
    </row>
    <row r="274" spans="1:9" x14ac:dyDescent="0.3">
      <c r="B274">
        <v>302</v>
      </c>
      <c r="C274" t="s">
        <v>15</v>
      </c>
      <c r="D274" t="s">
        <v>16</v>
      </c>
      <c r="E274" t="s">
        <v>17</v>
      </c>
      <c r="F274">
        <v>5</v>
      </c>
      <c r="G274">
        <v>15000</v>
      </c>
      <c r="H274" t="s">
        <v>18</v>
      </c>
      <c r="I274">
        <f t="shared" ref="I274:I278" si="27">ROUND(G274,3)</f>
        <v>15000</v>
      </c>
    </row>
    <row r="275" spans="1:9" x14ac:dyDescent="0.3">
      <c r="B275">
        <v>303</v>
      </c>
      <c r="C275" t="s">
        <v>19</v>
      </c>
      <c r="D275" t="s">
        <v>20</v>
      </c>
      <c r="E275" t="s">
        <v>21</v>
      </c>
      <c r="F275">
        <v>3</v>
      </c>
      <c r="G275">
        <v>18000</v>
      </c>
      <c r="H275" t="s">
        <v>22</v>
      </c>
      <c r="I275">
        <f t="shared" si="27"/>
        <v>18000</v>
      </c>
    </row>
    <row r="276" spans="1:9" x14ac:dyDescent="0.3">
      <c r="B276">
        <v>304</v>
      </c>
      <c r="C276" t="s">
        <v>23</v>
      </c>
      <c r="D276" t="s">
        <v>24</v>
      </c>
      <c r="E276" t="s">
        <v>13</v>
      </c>
      <c r="F276">
        <v>1</v>
      </c>
      <c r="G276">
        <v>45000</v>
      </c>
      <c r="H276" t="s">
        <v>25</v>
      </c>
      <c r="I276">
        <f t="shared" si="27"/>
        <v>45000</v>
      </c>
    </row>
    <row r="277" spans="1:9" x14ac:dyDescent="0.3">
      <c r="B277">
        <v>305</v>
      </c>
      <c r="C277" t="s">
        <v>11</v>
      </c>
      <c r="D277" t="s">
        <v>12</v>
      </c>
      <c r="E277" t="s">
        <v>17</v>
      </c>
      <c r="F277">
        <v>4</v>
      </c>
      <c r="G277">
        <v>15000</v>
      </c>
      <c r="H277" t="s">
        <v>26</v>
      </c>
      <c r="I277">
        <f t="shared" si="27"/>
        <v>15000</v>
      </c>
    </row>
    <row r="278" spans="1:9" x14ac:dyDescent="0.3">
      <c r="B278">
        <v>306</v>
      </c>
      <c r="C278" t="s">
        <v>15</v>
      </c>
      <c r="D278" t="s">
        <v>16</v>
      </c>
      <c r="E278" t="s">
        <v>13</v>
      </c>
      <c r="F278">
        <v>2</v>
      </c>
      <c r="G278">
        <v>45000</v>
      </c>
      <c r="H278" t="s">
        <v>27</v>
      </c>
      <c r="I278">
        <f t="shared" si="27"/>
        <v>45000</v>
      </c>
    </row>
    <row r="280" spans="1:9" x14ac:dyDescent="0.3">
      <c r="A280" s="1" t="s">
        <v>69</v>
      </c>
    </row>
    <row r="282" spans="1:9" x14ac:dyDescent="0.3">
      <c r="B282" t="s">
        <v>4</v>
      </c>
      <c r="C282" t="s">
        <v>5</v>
      </c>
      <c r="D282" t="s">
        <v>6</v>
      </c>
      <c r="E282" t="s">
        <v>7</v>
      </c>
      <c r="F282" t="s">
        <v>8</v>
      </c>
      <c r="G282" t="s">
        <v>9</v>
      </c>
      <c r="H282" t="s">
        <v>10</v>
      </c>
    </row>
    <row r="283" spans="1:9" x14ac:dyDescent="0.3">
      <c r="B283">
        <v>301</v>
      </c>
      <c r="C283" t="s">
        <v>11</v>
      </c>
      <c r="D283" t="s">
        <v>12</v>
      </c>
      <c r="E283" t="s">
        <v>13</v>
      </c>
      <c r="F283">
        <v>2</v>
      </c>
      <c r="G283">
        <v>45000</v>
      </c>
      <c r="H283" t="s">
        <v>14</v>
      </c>
    </row>
    <row r="284" spans="1:9" x14ac:dyDescent="0.3">
      <c r="B284">
        <v>302</v>
      </c>
      <c r="C284" t="s">
        <v>15</v>
      </c>
      <c r="D284" t="s">
        <v>16</v>
      </c>
      <c r="E284" t="s">
        <v>17</v>
      </c>
      <c r="F284">
        <v>5</v>
      </c>
      <c r="G284">
        <v>15000</v>
      </c>
      <c r="H284" t="s">
        <v>18</v>
      </c>
    </row>
    <row r="285" spans="1:9" x14ac:dyDescent="0.3">
      <c r="B285">
        <v>303</v>
      </c>
      <c r="C285" t="s">
        <v>19</v>
      </c>
      <c r="D285" t="s">
        <v>20</v>
      </c>
      <c r="E285" t="s">
        <v>21</v>
      </c>
      <c r="F285">
        <v>3</v>
      </c>
      <c r="G285">
        <v>18000</v>
      </c>
      <c r="H285" t="s">
        <v>22</v>
      </c>
    </row>
    <row r="286" spans="1:9" x14ac:dyDescent="0.3">
      <c r="B286">
        <v>304</v>
      </c>
      <c r="C286" t="s">
        <v>23</v>
      </c>
      <c r="D286" t="s">
        <v>24</v>
      </c>
      <c r="E286" t="s">
        <v>13</v>
      </c>
      <c r="F286">
        <v>1</v>
      </c>
      <c r="G286">
        <v>45000</v>
      </c>
      <c r="H286" t="s">
        <v>25</v>
      </c>
    </row>
    <row r="287" spans="1:9" x14ac:dyDescent="0.3">
      <c r="B287">
        <v>305</v>
      </c>
      <c r="C287" t="s">
        <v>11</v>
      </c>
      <c r="D287" t="s">
        <v>12</v>
      </c>
      <c r="E287" t="s">
        <v>17</v>
      </c>
      <c r="F287">
        <v>4</v>
      </c>
      <c r="G287">
        <v>15000</v>
      </c>
      <c r="H287" t="s">
        <v>26</v>
      </c>
    </row>
    <row r="288" spans="1:9" x14ac:dyDescent="0.3">
      <c r="B288">
        <v>306</v>
      </c>
      <c r="C288" t="s">
        <v>15</v>
      </c>
      <c r="D288" t="s">
        <v>16</v>
      </c>
      <c r="E288" t="s">
        <v>13</v>
      </c>
      <c r="F288">
        <v>2</v>
      </c>
      <c r="G288">
        <v>45000</v>
      </c>
      <c r="H288" t="s">
        <v>27</v>
      </c>
    </row>
    <row r="290" spans="1:7" x14ac:dyDescent="0.3">
      <c r="B290" t="s">
        <v>7</v>
      </c>
      <c r="C290" t="s">
        <v>28</v>
      </c>
      <c r="D290" t="s">
        <v>29</v>
      </c>
    </row>
    <row r="291" spans="1:7" x14ac:dyDescent="0.3">
      <c r="B291" t="s">
        <v>13</v>
      </c>
      <c r="C291" t="s">
        <v>30</v>
      </c>
      <c r="D291">
        <v>18</v>
      </c>
    </row>
    <row r="292" spans="1:7" x14ac:dyDescent="0.3">
      <c r="B292" t="s">
        <v>17</v>
      </c>
      <c r="C292" t="s">
        <v>30</v>
      </c>
      <c r="D292">
        <v>12</v>
      </c>
    </row>
    <row r="293" spans="1:7" x14ac:dyDescent="0.3">
      <c r="B293" t="s">
        <v>21</v>
      </c>
      <c r="C293" t="s">
        <v>30</v>
      </c>
      <c r="D293">
        <v>12</v>
      </c>
    </row>
    <row r="295" spans="1:7" x14ac:dyDescent="0.3">
      <c r="B295" t="s">
        <v>31</v>
      </c>
      <c r="C295" t="s">
        <v>32</v>
      </c>
      <c r="D295" t="s">
        <v>33</v>
      </c>
      <c r="E295" t="s">
        <v>34</v>
      </c>
      <c r="F295" t="s">
        <v>35</v>
      </c>
      <c r="G295" t="s">
        <v>36</v>
      </c>
    </row>
    <row r="296" spans="1:7" x14ac:dyDescent="0.3">
      <c r="B296">
        <v>1</v>
      </c>
      <c r="C296" t="s">
        <v>37</v>
      </c>
      <c r="D296">
        <v>78</v>
      </c>
      <c r="E296">
        <v>82</v>
      </c>
      <c r="F296">
        <v>85</v>
      </c>
      <c r="G296">
        <v>92</v>
      </c>
    </row>
    <row r="297" spans="1:7" x14ac:dyDescent="0.3">
      <c r="B297">
        <v>2</v>
      </c>
      <c r="C297" t="s">
        <v>38</v>
      </c>
      <c r="D297">
        <v>88</v>
      </c>
      <c r="E297">
        <v>91</v>
      </c>
      <c r="F297">
        <v>90</v>
      </c>
      <c r="G297">
        <v>96</v>
      </c>
    </row>
    <row r="298" spans="1:7" x14ac:dyDescent="0.3">
      <c r="B298">
        <v>3</v>
      </c>
      <c r="C298" t="s">
        <v>39</v>
      </c>
      <c r="D298">
        <v>65</v>
      </c>
      <c r="E298">
        <v>70</v>
      </c>
      <c r="F298">
        <v>72</v>
      </c>
      <c r="G298">
        <v>85</v>
      </c>
    </row>
    <row r="299" spans="1:7" x14ac:dyDescent="0.3">
      <c r="B299">
        <v>4</v>
      </c>
      <c r="C299" t="s">
        <v>40</v>
      </c>
      <c r="D299">
        <v>92</v>
      </c>
      <c r="E299">
        <v>89</v>
      </c>
      <c r="F299">
        <v>94</v>
      </c>
      <c r="G299">
        <v>98</v>
      </c>
    </row>
    <row r="300" spans="1:7" x14ac:dyDescent="0.3">
      <c r="B300">
        <v>5</v>
      </c>
      <c r="C300" t="s">
        <v>41</v>
      </c>
      <c r="D300">
        <v>55</v>
      </c>
      <c r="E300">
        <v>60</v>
      </c>
      <c r="F300">
        <v>58</v>
      </c>
      <c r="G300">
        <v>80</v>
      </c>
    </row>
    <row r="302" spans="1:7" x14ac:dyDescent="0.3">
      <c r="A302" s="1" t="s">
        <v>92</v>
      </c>
    </row>
    <row r="304" spans="1:7" x14ac:dyDescent="0.3">
      <c r="A304" s="1" t="s">
        <v>70</v>
      </c>
    </row>
    <row r="306" spans="1:1" ht="28.8" x14ac:dyDescent="0.3">
      <c r="A306" s="1" t="s">
        <v>93</v>
      </c>
    </row>
    <row r="308" spans="1:1" x14ac:dyDescent="0.3">
      <c r="A308" s="1" t="s">
        <v>71</v>
      </c>
    </row>
    <row r="310" spans="1:1" ht="28.8" x14ac:dyDescent="0.3">
      <c r="A310" s="1" t="s">
        <v>94</v>
      </c>
    </row>
  </sheetData>
  <sortState xmlns:xlrd2="http://schemas.microsoft.com/office/spreadsheetml/2017/richdata2" ref="B92:L97">
    <sortCondition descending="1" ref="L92:L97"/>
  </sortState>
  <conditionalFormatting sqref="H121:H125">
    <cfRule type="top10" dxfId="1" priority="2" rank="1"/>
  </conditionalFormatting>
  <conditionalFormatting sqref="L240:L245">
    <cfRule type="cellIs" dxfId="0" priority="1" operator="greaterThan">
      <formula>60000</formula>
    </cfRule>
  </conditionalFormatting>
  <pageMargins left="0.7" right="0.7" top="0.75" bottom="0.75" header="0.3" footer="0.3"/>
  <pageSetup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Sheet1</vt:lpstr>
      <vt:lpstr>Sales_Data</vt:lpstr>
      <vt:lpstr>Product_Master</vt:lpstr>
      <vt:lpstr>Student_Marks</vt:lpstr>
      <vt:lpstr>Questions</vt:lpstr>
      <vt:lpstr>Answers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Hitesh Kodwani</cp:lastModifiedBy>
  <dcterms:created xsi:type="dcterms:W3CDTF">2025-12-20T09:26:06Z</dcterms:created>
  <dcterms:modified xsi:type="dcterms:W3CDTF">2026-07-24T08:48:05Z</dcterms:modified>
</cp:coreProperties>
</file>
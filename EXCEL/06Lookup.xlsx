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4\Downloads\"/>
    </mc:Choice>
  </mc:AlternateContent>
  <xr:revisionPtr revIDLastSave="0" documentId="8_{95A7B894-9B75-4881-8734-16D020C7E24D}" xr6:coauthVersionLast="47" xr6:coauthVersionMax="47" xr10:uidLastSave="{00000000-0000-0000-0000-000000000000}"/>
  <bookViews>
    <workbookView xWindow="-120" yWindow="-120" windowWidth="20730" windowHeight="11040" activeTab="3" xr2:uid="{FEDE683C-09AA-40C4-AC6F-F190EDDDFD26}"/>
  </bookViews>
  <sheets>
    <sheet name="Employee_Data" sheetId="1" r:id="rId1"/>
    <sheet name="Department_Bonus (Horizontal Ta" sheetId="2" r:id="rId2"/>
    <sheet name="Search_Input" sheetId="3" r:id="rId3"/>
    <sheet name="Answe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79" i="4" l="1"/>
  <c r="C74" i="4"/>
  <c r="C69" i="4"/>
  <c r="C64" i="4"/>
  <c r="C59" i="4"/>
  <c r="C52" i="4"/>
  <c r="F47" i="4"/>
  <c r="E47" i="4"/>
  <c r="D47" i="4"/>
  <c r="C47" i="4"/>
  <c r="C42" i="4"/>
  <c r="C37" i="4"/>
  <c r="C30" i="4"/>
  <c r="C25" i="4"/>
  <c r="C5" i="4"/>
  <c r="C20" i="4"/>
  <c r="C15" i="4"/>
  <c r="C10" i="4"/>
</calcChain>
</file>

<file path=xl/sharedStrings.xml><?xml version="1.0" encoding="utf-8"?>
<sst xmlns="http://schemas.openxmlformats.org/spreadsheetml/2006/main" count="115" uniqueCount="59">
  <si>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</si>
  <si>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</si>
  <si>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</si>
  <si>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</si>
  <si>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</si>
  <si>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</si>
  <si>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</si>
  <si>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</si>
  <si>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</si>
  <si>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</si>
  <si>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</si>
  <si>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</si>
  <si>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</si>
  <si>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</si>
  <si>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</si>
  <si>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</si>
  <si>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</si>
  <si>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</si>
  <si>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</si>
  <si>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</si>
  <si>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</si>
  <si>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</si>
  <si>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</si>
  <si>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</si>
  <si>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</si>
  <si>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</si>
  <si>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</si>
  <si>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</si>
  <si>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</si>
  <si>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</si>
  <si>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</si>
  <si>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</si>
  <si>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</si>
  <si>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Bonus %</t>
  </si>
  <si>
    <t>1. Find the Name of employee using EmployeeID from Search_Input.</t>
  </si>
  <si>
    <t>2. Find the Department of employee with ID E103.</t>
  </si>
  <si>
    <t>3. Find the Salary of employee Neha Singh using VLOOKUP.</t>
  </si>
  <si>
    <t>4. Get the Location of employee E107.</t>
  </si>
  <si>
    <t>5. If EmployeeID is not found, display "Not Found".</t>
  </si>
  <si>
    <t>Display value</t>
  </si>
  <si>
    <t>E109</t>
  </si>
  <si>
    <t>6. Find the JoiningYear of employee E101</t>
  </si>
  <si>
    <t>VLOOKUP Tasks (1–6)</t>
  </si>
  <si>
    <t>HLOOKUP Tasks (7–10)</t>
  </si>
  <si>
    <t>7. Find the Bonus % for IT department.</t>
  </si>
  <si>
    <t>Bonus%</t>
  </si>
  <si>
    <t>8. Find the Bonus % for Finance department.</t>
  </si>
  <si>
    <t>9. Calculate Bonus Amount for employee E104
(Bonus Amount = Salary × Bonus %).</t>
  </si>
  <si>
    <t>Bonus Amount</t>
  </si>
  <si>
    <t>10. If department is invalid, display "No Bonus Data".</t>
  </si>
  <si>
    <t>Display Value</t>
  </si>
  <si>
    <t>Operations</t>
  </si>
  <si>
    <t>XLOOKUP Tasks (11–15)</t>
  </si>
  <si>
    <t>11. Find Salary using EmployeeID.</t>
  </si>
  <si>
    <t>12. Find Department using Employee Name</t>
  </si>
  <si>
    <t>13. Fetch Location of employee Rohit Verma.</t>
  </si>
  <si>
    <t>14. If EmployeeID = E999, return "Employee Not Found".</t>
  </si>
  <si>
    <t>E999</t>
  </si>
  <si>
    <t>15. Find Bonus % using XLOOKUP from Department_Bonus (horizontal lookup).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</si>
</sst>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9" fontId="0" fillId="0" borderId="0" xfId="0" applyNumberFormat="1"/>
    <xf numFmtId="0" fontId="0" fillId="0" borderId="0" xfId="0" applyAlignment="1">
      <alignment wrapText="1"/>
    </xf>
    <xf numFmtId="0" fontId="0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09BF3-DD20-476A-8A14-D1B61583242F}">
  <dimension ref="A1:F9"/>
  <sheetViews>
    <sheetView workbookViewId="0">
      <selection activeCell="A2" sqref="A2:A9"/>
    </sheetView>
  </sheetViews>
  <sheetFormatPr defaultRowHeight="15" x14ac:dyDescent="0.25"/>
  <cols>
    <col min="1" max="1" width="11.7109375" bestFit="1" customWidth="1"/>
    <col min="2" max="2" width="13.42578125" bestFit="1" customWidth="1"/>
    <col min="3" max="3" width="11.7109375" bestFit="1" customWidth="1"/>
    <col min="4" max="4" width="10.5703125" bestFit="1" customWidth="1"/>
    <col min="5" max="5" width="6.28515625" bestFit="1" customWidth="1"/>
    <col min="6" max="6" width="11.1406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45000</v>
      </c>
      <c r="F2">
        <v>2019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>
        <v>52000</v>
      </c>
      <c r="F3">
        <v>2018</v>
      </c>
    </row>
    <row r="4" spans="1:6" x14ac:dyDescent="0.25">
      <c r="A4" t="s">
        <v>14</v>
      </c>
      <c r="B4" t="s">
        <v>15</v>
      </c>
      <c r="C4" t="s">
        <v>16</v>
      </c>
      <c r="D4" t="s">
        <v>17</v>
      </c>
      <c r="E4">
        <v>65000</v>
      </c>
      <c r="F4">
        <v>2020</v>
      </c>
    </row>
    <row r="5" spans="1:6" x14ac:dyDescent="0.25">
      <c r="A5" t="s">
        <v>18</v>
      </c>
      <c r="B5" t="s">
        <v>19</v>
      </c>
      <c r="C5" t="s">
        <v>20</v>
      </c>
      <c r="D5" t="s">
        <v>21</v>
      </c>
      <c r="E5">
        <v>58000</v>
      </c>
      <c r="F5">
        <v>2017</v>
      </c>
    </row>
    <row r="6" spans="1:6" x14ac:dyDescent="0.25">
      <c r="A6" t="s">
        <v>22</v>
      </c>
      <c r="B6" t="s">
        <v>23</v>
      </c>
      <c r="C6" t="s">
        <v>24</v>
      </c>
      <c r="D6" t="s">
        <v>9</v>
      </c>
      <c r="E6">
        <v>48000</v>
      </c>
      <c r="F6">
        <v>2021</v>
      </c>
    </row>
    <row r="7" spans="1:6" x14ac:dyDescent="0.25">
      <c r="A7" t="s">
        <v>25</v>
      </c>
      <c r="B7" t="s">
        <v>26</v>
      </c>
      <c r="C7" t="s">
        <v>16</v>
      </c>
      <c r="D7" t="s">
        <v>27</v>
      </c>
      <c r="E7">
        <v>62000</v>
      </c>
      <c r="F7">
        <v>2019</v>
      </c>
    </row>
    <row r="8" spans="1:6" x14ac:dyDescent="0.25">
      <c r="A8" t="s">
        <v>28</v>
      </c>
      <c r="B8" t="s">
        <v>29</v>
      </c>
      <c r="C8" t="s">
        <v>8</v>
      </c>
      <c r="D8" t="s">
        <v>30</v>
      </c>
      <c r="E8">
        <v>47000</v>
      </c>
      <c r="F8">
        <v>2020</v>
      </c>
    </row>
    <row r="9" spans="1:6" x14ac:dyDescent="0.25">
      <c r="A9" t="s">
        <v>31</v>
      </c>
      <c r="B9" t="s">
        <v>32</v>
      </c>
      <c r="C9" t="s">
        <v>12</v>
      </c>
      <c r="D9" t="s">
        <v>17</v>
      </c>
      <c r="E9">
        <v>54000</v>
      </c>
      <c r="F9">
        <v>2016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AC68F-3454-4675-BA09-76A3AA99883D}">
  <dimension ref="A1:F2"/>
  <sheetViews>
    <sheetView workbookViewId="0">
      <selection activeCell="B1" sqref="B1:F1"/>
    </sheetView>
  </sheetViews>
  <sheetFormatPr defaultRowHeight="15" x14ac:dyDescent="0.25"/>
  <cols>
    <col min="1" max="1" width="11.7109375" bestFit="1" customWidth="1"/>
    <col min="2" max="2" width="5.5703125" bestFit="1" customWidth="1"/>
    <col min="3" max="3" width="3.5703125" bestFit="1" customWidth="1"/>
    <col min="4" max="4" width="4.5703125" bestFit="1" customWidth="1"/>
    <col min="5" max="5" width="7.85546875" bestFit="1" customWidth="1"/>
    <col min="6" max="6" width="10" bestFit="1" customWidth="1"/>
  </cols>
  <sheetData>
    <row r="1" spans="1:6" s="1" customFormat="1" x14ac:dyDescent="0.25">
      <c r="A1" s="1" t="s">
        <v>2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</row>
    <row r="2" spans="1:6" x14ac:dyDescent="0.25">
      <c r="A2" t="s">
        <v>33</v>
      </c>
      <c r="B2" s="2">
        <v>0.1</v>
      </c>
      <c r="C2" s="2">
        <v>0.08</v>
      </c>
      <c r="D2" s="2">
        <v>0.12</v>
      </c>
      <c r="E2" s="2">
        <v>0.15</v>
      </c>
      <c r="F2" s="2">
        <v>0.09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C7CED-C866-4118-90B9-1C1E75EFDF93}">
  <dimension ref="A1:B2"/>
  <sheetViews>
    <sheetView workbookViewId="0">
      <selection activeCell="H22" sqref="H22"/>
    </sheetView>
  </sheetViews>
  <sheetFormatPr defaultRowHeight="15" x14ac:dyDescent="0.25"/>
  <cols>
    <col min="1" max="1" width="11.7109375" bestFit="1" customWidth="1"/>
    <col min="2" max="2" width="12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18</v>
      </c>
      <c r="B2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A9F42-078F-4B6D-BED0-A2ABFCC5D6AC}">
  <dimension ref="A1:F79"/>
  <sheetViews>
    <sheetView tabSelected="1" topLeftCell="A70" workbookViewId="0">
      <selection activeCell="B80" sqref="B80"/>
    </sheetView>
  </sheetViews>
  <sheetFormatPr defaultRowHeight="15" x14ac:dyDescent="0.25"/>
  <cols>
    <col min="1" max="1" width="37.28515625" style="3" customWidth="1"/>
    <col min="2" max="2" width="11.7109375" bestFit="1" customWidth="1"/>
    <col min="3" max="3" width="19.85546875" bestFit="1" customWidth="1"/>
    <col min="4" max="4" width="12.7109375" customWidth="1"/>
    <col min="6" max="6" width="14.140625" bestFit="1" customWidth="1"/>
  </cols>
  <sheetData>
    <row r="1" spans="1:3" x14ac:dyDescent="0.25">
      <c r="A1" s="5" t="s">
        <v>42</v>
      </c>
    </row>
    <row r="2" spans="1:3" ht="30" x14ac:dyDescent="0.25">
      <c r="A2" s="3" t="s">
        <v>34</v>
      </c>
    </row>
    <row r="4" spans="1:3" x14ac:dyDescent="0.25">
      <c r="B4" t="s">
        <v>0</v>
      </c>
      <c r="C4" t="s">
        <v>1</v>
      </c>
    </row>
    <row r="5" spans="1:3" x14ac:dyDescent="0.25">
      <c r="B5" t="s">
        <v>18</v>
      </c>
      <c r="C5" t="str">
        <f>VLOOKUP(B5,Employee_Data!A:B,2,0)</f>
        <v>Neha Singh</v>
      </c>
    </row>
    <row r="7" spans="1:3" ht="30" x14ac:dyDescent="0.25">
      <c r="A7" s="3" t="s">
        <v>35</v>
      </c>
    </row>
    <row r="9" spans="1:3" x14ac:dyDescent="0.25">
      <c r="B9" t="s">
        <v>0</v>
      </c>
      <c r="C9" t="s">
        <v>2</v>
      </c>
    </row>
    <row r="10" spans="1:3" x14ac:dyDescent="0.25">
      <c r="B10" t="s">
        <v>14</v>
      </c>
      <c r="C10" t="str">
        <f>VLOOKUP(B10,Employee_Data!A:C,3,0)</f>
        <v>IT</v>
      </c>
    </row>
    <row r="12" spans="1:3" ht="30" x14ac:dyDescent="0.25">
      <c r="A12" s="3" t="s">
        <v>36</v>
      </c>
    </row>
    <row r="14" spans="1:3" x14ac:dyDescent="0.25">
      <c r="B14" t="s">
        <v>1</v>
      </c>
      <c r="C14" t="s">
        <v>4</v>
      </c>
    </row>
    <row r="15" spans="1:3" x14ac:dyDescent="0.25">
      <c r="B15" t="s">
        <v>19</v>
      </c>
      <c r="C15">
        <f>VLOOKUP(B15,Employee_Data!B:E,4,0)</f>
        <v>58000</v>
      </c>
    </row>
    <row r="17" spans="1:4" x14ac:dyDescent="0.25">
      <c r="A17" s="3" t="s">
        <v>37</v>
      </c>
    </row>
    <row r="19" spans="1:4" x14ac:dyDescent="0.25">
      <c r="B19" t="s">
        <v>0</v>
      </c>
      <c r="C19" t="s">
        <v>3</v>
      </c>
    </row>
    <row r="20" spans="1:4" x14ac:dyDescent="0.25">
      <c r="B20" t="s">
        <v>28</v>
      </c>
      <c r="C20" t="str">
        <f>VLOOKUP(B20,Employee_Data!A:D,4,0)</f>
        <v>Hyderabad</v>
      </c>
    </row>
    <row r="22" spans="1:4" ht="30" x14ac:dyDescent="0.25">
      <c r="A22" s="3" t="s">
        <v>38</v>
      </c>
    </row>
    <row r="24" spans="1:4" x14ac:dyDescent="0.25">
      <c r="B24" t="s">
        <v>0</v>
      </c>
      <c r="C24" t="s">
        <v>39</v>
      </c>
    </row>
    <row r="25" spans="1:4" x14ac:dyDescent="0.25">
      <c r="B25" t="s">
        <v>40</v>
      </c>
      <c r="C25" t="str">
        <f>IFERROR(VLOOKUP(B25,Employee_Data!A2:A9,1,0), "Not Found")</f>
        <v>Not Found</v>
      </c>
    </row>
    <row r="27" spans="1:4" ht="30" x14ac:dyDescent="0.25">
      <c r="A27" s="3" t="s">
        <v>41</v>
      </c>
    </row>
    <row r="29" spans="1:4" x14ac:dyDescent="0.25">
      <c r="B29" t="s">
        <v>0</v>
      </c>
      <c r="C29" s="4" t="s">
        <v>5</v>
      </c>
      <c r="D29" s="4"/>
    </row>
    <row r="30" spans="1:4" x14ac:dyDescent="0.25">
      <c r="B30" t="s">
        <v>6</v>
      </c>
      <c r="C30">
        <f>VLOOKUP(B30,Employee_Data!A:F,6,0)</f>
        <v>2019</v>
      </c>
    </row>
    <row r="33" spans="1:6" x14ac:dyDescent="0.25">
      <c r="A33" s="5" t="s">
        <v>43</v>
      </c>
    </row>
    <row r="35" spans="1:6" x14ac:dyDescent="0.25">
      <c r="A35" s="3" t="s">
        <v>44</v>
      </c>
    </row>
    <row r="36" spans="1:6" x14ac:dyDescent="0.25">
      <c r="B36" t="s">
        <v>2</v>
      </c>
      <c r="C36" t="s">
        <v>45</v>
      </c>
    </row>
    <row r="37" spans="1:6" x14ac:dyDescent="0.25">
      <c r="B37" t="s">
        <v>16</v>
      </c>
      <c r="C37" s="2">
        <f>HLOOKUP(B37,'Department_Bonus (Horizontal Ta'!1:2,2,0)</f>
        <v>0.12</v>
      </c>
      <c r="D37" s="2"/>
    </row>
    <row r="39" spans="1:6" ht="30" x14ac:dyDescent="0.25">
      <c r="A39" s="3" t="s">
        <v>46</v>
      </c>
    </row>
    <row r="41" spans="1:6" x14ac:dyDescent="0.25">
      <c r="B41" t="s">
        <v>2</v>
      </c>
      <c r="C41" t="s">
        <v>45</v>
      </c>
    </row>
    <row r="42" spans="1:6" x14ac:dyDescent="0.25">
      <c r="B42" t="s">
        <v>20</v>
      </c>
      <c r="C42" s="2">
        <f>HLOOKUP(B42,'Department_Bonus (Horizontal Ta'!1:2,2,0)</f>
        <v>0.15</v>
      </c>
      <c r="D42" s="2"/>
    </row>
    <row r="44" spans="1:6" ht="45" x14ac:dyDescent="0.25">
      <c r="A44" s="3" t="s">
        <v>47</v>
      </c>
    </row>
    <row r="46" spans="1:6" x14ac:dyDescent="0.25">
      <c r="B46" t="s">
        <v>0</v>
      </c>
      <c r="C46" t="s">
        <v>4</v>
      </c>
      <c r="D46" t="s">
        <v>2</v>
      </c>
      <c r="E46" t="s">
        <v>45</v>
      </c>
      <c r="F46" t="s">
        <v>48</v>
      </c>
    </row>
    <row r="47" spans="1:6" x14ac:dyDescent="0.25">
      <c r="B47" t="s">
        <v>18</v>
      </c>
      <c r="C47">
        <f>VLOOKUP(B47,Employee_Data!A:E,5,0)</f>
        <v>58000</v>
      </c>
      <c r="D47" t="str">
        <f>VLOOKUP(B47,Employee_Data!A:C,3,0)</f>
        <v>Finance</v>
      </c>
      <c r="E47" s="2">
        <f>HLOOKUP(D47,'Department_Bonus (Horizontal Ta'!1:2,2,0)</f>
        <v>0.15</v>
      </c>
      <c r="F47">
        <f>C47*E47</f>
        <v>8700</v>
      </c>
    </row>
    <row r="49" spans="1:3" ht="30" x14ac:dyDescent="0.25">
      <c r="A49" s="3" t="s">
        <v>49</v>
      </c>
    </row>
    <row r="51" spans="1:3" x14ac:dyDescent="0.25">
      <c r="B51" t="s">
        <v>2</v>
      </c>
      <c r="C51" t="s">
        <v>50</v>
      </c>
    </row>
    <row r="52" spans="1:3" x14ac:dyDescent="0.25">
      <c r="B52" t="s">
        <v>51</v>
      </c>
      <c r="C52" t="str">
        <f>IFERROR(HLOOKUP(B52,'Department_Bonus (Horizontal Ta'!B1:F1,1,0),"No Bonus Data")</f>
        <v>No Bonus Data</v>
      </c>
    </row>
    <row r="54" spans="1:3" x14ac:dyDescent="0.25">
      <c r="A54" s="5" t="s">
        <v>52</v>
      </c>
    </row>
    <row r="56" spans="1:3" x14ac:dyDescent="0.25">
      <c r="A56" s="3" t="s">
        <v>53</v>
      </c>
    </row>
    <row r="58" spans="1:3" x14ac:dyDescent="0.25">
      <c r="B58" t="s">
        <v>0</v>
      </c>
      <c r="C58" t="s">
        <v>4</v>
      </c>
    </row>
    <row r="59" spans="1:3" x14ac:dyDescent="0.25">
      <c r="B59" t="s">
        <v>31</v>
      </c>
      <c r="C59">
        <f>_xlfn.XLOOKUP(B59,Employee_Data!A2:A9,Employee_Data!E2:E9)</f>
        <v>54000</v>
      </c>
    </row>
    <row r="61" spans="1:3" ht="30" x14ac:dyDescent="0.25">
      <c r="A61" s="3" t="s">
        <v>54</v>
      </c>
    </row>
    <row r="63" spans="1:3" x14ac:dyDescent="0.25">
      <c r="B63" t="s">
        <v>1</v>
      </c>
      <c r="C63" t="s">
        <v>2</v>
      </c>
    </row>
    <row r="64" spans="1:3" x14ac:dyDescent="0.25">
      <c r="B64" t="s">
        <v>29</v>
      </c>
      <c r="C64" t="str">
        <f>_xlfn.XLOOKUP(B64,Employee_Data!B2:B9,Employee_Data!C2:C9)</f>
        <v>Sales</v>
      </c>
    </row>
    <row r="66" spans="1:3" ht="30" x14ac:dyDescent="0.25">
      <c r="A66" s="3" t="s">
        <v>55</v>
      </c>
    </row>
    <row r="68" spans="1:3" x14ac:dyDescent="0.25">
      <c r="B68" t="s">
        <v>1</v>
      </c>
      <c r="C68" t="s">
        <v>3</v>
      </c>
    </row>
    <row r="69" spans="1:3" x14ac:dyDescent="0.25">
      <c r="B69" t="s">
        <v>15</v>
      </c>
      <c r="C69" t="str">
        <f>_xlfn.XLOOKUP(B69,Employee_Data!B2:B9,Employee_Data!D2:D9)</f>
        <v>Bangalore</v>
      </c>
    </row>
    <row r="71" spans="1:3" ht="30" x14ac:dyDescent="0.25">
      <c r="A71" s="3" t="s">
        <v>56</v>
      </c>
    </row>
    <row r="73" spans="1:3" x14ac:dyDescent="0.25">
      <c r="B73" t="s">
        <v>0</v>
      </c>
      <c r="C73" t="s">
        <v>50</v>
      </c>
    </row>
    <row r="74" spans="1:3" x14ac:dyDescent="0.25">
      <c r="B74" t="s">
        <v>57</v>
      </c>
      <c r="C74" t="str">
        <f>IFERROR(_xlfn.XLOOKUP(B74,Employee_Data!A2:A9,Employee_Data!A2:A9), "Employee Not Found")</f>
        <v>Employee Not Found</v>
      </c>
    </row>
    <row r="76" spans="1:3" ht="30" x14ac:dyDescent="0.25">
      <c r="A76" s="3" t="s">
        <v>58</v>
      </c>
    </row>
    <row r="78" spans="1:3" x14ac:dyDescent="0.25">
      <c r="B78" t="s">
        <v>2</v>
      </c>
      <c r="C78" t="s">
        <v>33</v>
      </c>
    </row>
    <row r="79" spans="1:3" x14ac:dyDescent="0.25">
      <c r="B79" t="s">
        <v>8</v>
      </c>
      <c r="C79" s="2">
        <f>_xlfn.XLOOKUP(B79,'Department_Bonus (Horizontal Ta'!B1:F1,'Department_Bonus (Horizontal Ta'!B2:F2)</f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Employee_Data</vt:lpstr>
      <vt:lpstr>Department_Bonus (Horizontal Ta</vt:lpstr>
      <vt:lpstr>Search_Input</vt:lpstr>
      <vt:lpstr>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</dc:creator>
  <cp:lastModifiedBy>ASDC4</cp:lastModifiedBy>
  <dcterms:created xsi:type="dcterms:W3CDTF">2026-07-12T08:02:54Z</dcterms:created>
  <dcterms:modified xsi:type="dcterms:W3CDTF">2026-07-12T08:41:37Z</dcterms:modified>
</cp:coreProperties>
</file>
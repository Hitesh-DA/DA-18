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4\Desktop\"/>
    </mc:Choice>
  </mc:AlternateContent>
  <xr:revisionPtr revIDLastSave="0" documentId="13_ncr:1_{34AF6BF3-E89C-417E-BE27-B5CA927BBF57}" xr6:coauthVersionLast="47" xr6:coauthVersionMax="47" xr10:uidLastSave="{00000000-0000-0000-0000-000000000000}"/>
  <bookViews>
    <workbookView xWindow="-120" yWindow="-120" windowWidth="20730" windowHeight="11040" firstSheet="7" activeTab="9" xr2:uid="{88A245A1-F008-4B27-92BD-95EE260D4976}"/>
  </bookViews>
  <sheets>
    <sheet name="Basic formatting" sheetId="1" r:id="rId1"/>
    <sheet name="Beautification" sheetId="2" r:id="rId2"/>
    <sheet name="Formatting" sheetId="3" r:id="rId3"/>
    <sheet name="Aggregation functions" sheetId="4" r:id="rId4"/>
    <sheet name="Salary analysis" sheetId="5" r:id="rId5"/>
    <sheet name="COUNTIF" sheetId="6" r:id="rId6"/>
    <sheet name="Sales Count Logic" sheetId="7" r:id="rId7"/>
    <sheet name="Conditional Formatting – Sales" sheetId="8" r:id="rId8"/>
    <sheet name="Student Result Highlight" sheetId="9" r:id="rId9"/>
    <sheet name="Salary Band – Conditional Forma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7" l="1"/>
  <c r="D2" i="7"/>
  <c r="I2" i="6"/>
  <c r="H2" i="6"/>
  <c r="H2" i="5"/>
  <c r="G2" i="5"/>
  <c r="H2" i="4"/>
  <c r="G2" i="4"/>
  <c r="F2" i="4"/>
  <c r="E2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</calcChain>
</file>

<file path=xl/sharedStrings.xml><?xml version="1.0" encoding="utf-8"?>
<sst xmlns="http://schemas.openxmlformats.org/spreadsheetml/2006/main" count="451" uniqueCount="167">
  <si>
    <t>Employee ID</t>
  </si>
  <si>
    <t>Name</t>
  </si>
  <si>
    <t>Department</t>
  </si>
  <si>
    <t>Salary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</si>
  <si>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</si>
  <si>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</si>
  <si>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</si>
  <si>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</si>
  <si>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</si>
  <si>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</si>
  <si>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</si>
  <si>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</si>
  <si>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</si>
  <si>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Finance</t>
  </si>
  <si>
    <t>E104</t>
  </si>
  <si>
    <t>Pooja Singh</t>
  </si>
  <si>
    <t>E105</t>
  </si>
  <si>
    <t>Ankit Patel</t>
  </si>
  <si>
    <t>Sales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</si>
  <si>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</si>
  <si>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</si>
  <si>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</si>
  <si>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</si>
  <si>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</si>
  <si>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</si>
  <si>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</si>
  <si>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</si>
  <si>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</si>
  <si>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</si>
  <si>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</si>
  <si>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</si>
  <si>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</si>
  <si>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</si>
  <si>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</si>
  <si>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Raj Shah</t>
  </si>
  <si>
    <t>Rohan Sharma</t>
  </si>
  <si>
    <t>Hitesh Kodwani</t>
  </si>
  <si>
    <t>Aakash Shah</t>
  </si>
  <si>
    <t>Product Name</t>
  </si>
  <si>
    <t>Region</t>
  </si>
  <si>
    <t>Sales Amount</t>
  </si>
  <si>
    <t>Salesperson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</si>
  <si>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</si>
  <si>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</si>
  <si>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</si>
  <si>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</si>
  <si>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</si>
  <si>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</si>
  <si>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</si>
  <si>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</si>
  <si>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</si>
  <si>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</si>
  <si>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</si>
  <si>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</si>
  <si>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Rohan</t>
  </si>
  <si>
    <t>Shivam</t>
  </si>
  <si>
    <t>Aakash</t>
  </si>
  <si>
    <t>Raju</t>
  </si>
  <si>
    <t>Monthly Sales Report</t>
  </si>
  <si>
    <t>Roll No</t>
  </si>
  <si>
    <t>Student Name</t>
  </si>
  <si>
    <t>Maths</t>
  </si>
  <si>
    <t>Science</t>
  </si>
  <si>
    <t>English</t>
  </si>
  <si>
    <t>Percentage</t>
  </si>
  <si>
    <t>Bhavya</t>
  </si>
  <si>
    <t>Chirag</t>
  </si>
  <si>
    <t>Divya</t>
  </si>
  <si>
    <t>Esha</t>
  </si>
  <si>
    <t>Kishan</t>
  </si>
  <si>
    <t>Juhi</t>
  </si>
  <si>
    <t>Ruhi</t>
  </si>
  <si>
    <t>Bappi</t>
  </si>
  <si>
    <t>Hitesh</t>
  </si>
  <si>
    <t>Kesha</t>
  </si>
  <si>
    <t>Yesha</t>
  </si>
  <si>
    <t>Radha</t>
  </si>
  <si>
    <t>Hari</t>
  </si>
  <si>
    <t>Pari</t>
  </si>
  <si>
    <t>Dhara</t>
  </si>
  <si>
    <t>Krishna</t>
  </si>
  <si>
    <t>Hanuman</t>
  </si>
  <si>
    <t>Chiru</t>
  </si>
  <si>
    <t>Invoice No</t>
  </si>
  <si>
    <t>Date</t>
  </si>
  <si>
    <t>INV001</t>
  </si>
  <si>
    <t>INV002</t>
  </si>
  <si>
    <t>INV003</t>
  </si>
  <si>
    <t>INV004</t>
  </si>
  <si>
    <t>INV005</t>
  </si>
  <si>
    <t>INV006</t>
  </si>
  <si>
    <t>INV007</t>
  </si>
  <si>
    <t>INV008</t>
  </si>
  <si>
    <t>INV009</t>
  </si>
  <si>
    <t>INV010</t>
  </si>
  <si>
    <t>INV011</t>
  </si>
  <si>
    <t>INV012</t>
  </si>
  <si>
    <t>INV013</t>
  </si>
  <si>
    <t>INV014</t>
  </si>
  <si>
    <t>INV015</t>
  </si>
  <si>
    <t>INV016</t>
  </si>
  <si>
    <t>INV017</t>
  </si>
  <si>
    <t>INV018</t>
  </si>
  <si>
    <t>INV019</t>
  </si>
  <si>
    <t>INV020</t>
  </si>
  <si>
    <t>Total Sales</t>
  </si>
  <si>
    <t>Average Sales</t>
  </si>
  <si>
    <t>Highest Sales</t>
  </si>
  <si>
    <t>Lowest Sale</t>
  </si>
  <si>
    <t>Employee Name</t>
  </si>
  <si>
    <t>Suresh</t>
  </si>
  <si>
    <t>Meena</t>
  </si>
  <si>
    <t>Karan</t>
  </si>
  <si>
    <t>Ritu</t>
  </si>
  <si>
    <t>Aman</t>
  </si>
  <si>
    <t>Neel</t>
  </si>
  <si>
    <t>Total salary per department</t>
  </si>
  <si>
    <t>Average salary</t>
  </si>
  <si>
    <t>Count employees</t>
  </si>
  <si>
    <t>Day 1</t>
  </si>
  <si>
    <t>Day 2</t>
  </si>
  <si>
    <t>Day 3</t>
  </si>
  <si>
    <t>Day 4</t>
  </si>
  <si>
    <t>Day 5</t>
  </si>
  <si>
    <t>P</t>
  </si>
  <si>
    <t>A</t>
  </si>
  <si>
    <t>Present Days</t>
  </si>
  <si>
    <t>Absent Days</t>
  </si>
  <si>
    <t>Order ID</t>
  </si>
  <si>
    <t>O101</t>
  </si>
  <si>
    <t>O102</t>
  </si>
  <si>
    <t>O103</t>
  </si>
  <si>
    <t>O104</t>
  </si>
  <si>
    <t>O105</t>
  </si>
  <si>
    <t>O106</t>
  </si>
  <si>
    <t>O107</t>
  </si>
  <si>
    <t>O108</t>
  </si>
  <si>
    <t>O109</t>
  </si>
  <si>
    <t>O110</t>
  </si>
  <si>
    <t>O111</t>
  </si>
  <si>
    <t>O112</t>
  </si>
  <si>
    <t>O113</t>
  </si>
  <si>
    <t>O114</t>
  </si>
  <si>
    <t>O115</t>
  </si>
  <si>
    <t>O116</t>
  </si>
  <si>
    <t>O117</t>
  </si>
  <si>
    <t>O118</t>
  </si>
  <si>
    <t>O119</t>
  </si>
  <si>
    <t>O120</t>
  </si>
  <si>
    <t>Count sales above 10000</t>
  </si>
  <si>
    <t>Count sales below 5000</t>
  </si>
  <si>
    <t>Product</t>
  </si>
  <si>
    <t>Mobile</t>
  </si>
  <si>
    <t>Headphones</t>
  </si>
  <si>
    <t>Laptop</t>
  </si>
  <si>
    <t>Keyboard</t>
  </si>
  <si>
    <t>Tablet</t>
  </si>
  <si>
    <t>Marks</t>
  </si>
  <si>
    <t>Bharti</t>
  </si>
  <si>
    <t>Chetan</t>
  </si>
  <si>
    <t>Deepa</t>
  </si>
  <si>
    <t>Farhan</t>
  </si>
  <si>
    <t>Rohit</t>
  </si>
  <si>
    <t>Simran</t>
  </si>
  <si>
    <t>Vijay</t>
  </si>
  <si>
    <t>Nisha</t>
  </si>
  <si>
    <t>Mohan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</si>
</sst>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1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sz val="8"/>
      <name val="Calibri"/>
      <family val="2"/>
      <scheme val="minor"/>
    </font>
    <font>
      <sz val="11"/>
      <color theme="1"/>
      <name val="Segoe UI"/>
      <family val="2"/>
    </font>
    <font>
      <b/>
      <sz val="14"/>
      <color theme="1"/>
      <name val="Calibri"/>
      <family val="2"/>
      <scheme val="minor"/>
    </font>
    <font>
      <sz val="12"/>
      <color theme="1"/>
      <name val="Segoe UI"/>
      <family val="2"/>
    </font>
    <font>
      <b/>
      <sz val="12"/>
      <color rgb="FF1F2328"/>
      <name val="Segoe UI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rgb="FF00B0F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/>
      <diagonal/>
    </border>
    <border>
      <left style="medium">
        <color rgb="FFD1D9E0"/>
      </left>
      <right style="medium">
        <color rgb="FFD1D9E0"/>
      </right>
      <top/>
      <bottom style="medium">
        <color rgb="FFD1D9E0"/>
      </bottom>
      <diagonal/>
    </border>
    <border>
      <left/>
      <right/>
      <top/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/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46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 indent="1"/>
    </xf>
    <xf numFmtId="0" fontId="3" fillId="3" borderId="2" xfId="0" applyFont="1" applyFill="1" applyBorder="1" applyAlignment="1">
      <alignment horizontal="left" vertical="center" wrapText="1" indent="1"/>
    </xf>
    <xf numFmtId="0" fontId="5" fillId="0" borderId="0" xfId="0" applyFont="1"/>
    <xf numFmtId="0" fontId="3" fillId="2" borderId="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3" fillId="3" borderId="2" xfId="0" applyFont="1" applyFill="1" applyBorder="1" applyAlignment="1">
      <alignment horizontal="center" vertical="center" wrapText="1"/>
    </xf>
    <xf numFmtId="164" fontId="5" fillId="0" borderId="0" xfId="0" applyNumberFormat="1" applyFont="1" applyAlignment="1">
      <alignment horizontal="center"/>
    </xf>
    <xf numFmtId="0" fontId="3" fillId="3" borderId="5" xfId="0" applyFont="1" applyFill="1" applyBorder="1" applyAlignment="1">
      <alignment horizontal="left" vertical="center" wrapText="1" indent="1"/>
    </xf>
    <xf numFmtId="0" fontId="3" fillId="2" borderId="3" xfId="0" applyFont="1" applyFill="1" applyBorder="1" applyAlignment="1">
      <alignment horizontal="center" vertical="center"/>
    </xf>
    <xf numFmtId="164" fontId="3" fillId="2" borderId="3" xfId="0" applyNumberFormat="1" applyFont="1" applyFill="1" applyBorder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164" fontId="3" fillId="3" borderId="3" xfId="0" applyNumberFormat="1" applyFont="1" applyFill="1" applyBorder="1" applyAlignment="1">
      <alignment horizontal="center" vertical="center"/>
    </xf>
    <xf numFmtId="14" fontId="3" fillId="3" borderId="3" xfId="0" applyNumberFormat="1" applyFont="1" applyFill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/>
    </xf>
    <xf numFmtId="14" fontId="5" fillId="0" borderId="3" xfId="0" applyNumberFormat="1" applyFont="1" applyBorder="1" applyAlignment="1">
      <alignment horizontal="center"/>
    </xf>
    <xf numFmtId="164" fontId="3" fillId="2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left" vertical="center" wrapText="1" indent="1"/>
    </xf>
    <xf numFmtId="0" fontId="3" fillId="2" borderId="7" xfId="0" applyFont="1" applyFill="1" applyBorder="1" applyAlignment="1">
      <alignment horizontal="left" vertical="center" wrapText="1" indent="1"/>
    </xf>
    <xf numFmtId="0" fontId="7" fillId="0" borderId="0" xfId="0" applyFont="1" applyAlignment="1">
      <alignment horizontal="center"/>
    </xf>
    <xf numFmtId="0" fontId="1" fillId="2" borderId="3" xfId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0" fontId="3" fillId="2" borderId="3" xfId="0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 indent="1"/>
    </xf>
    <xf numFmtId="14" fontId="3" fillId="2" borderId="3" xfId="0" applyNumberFormat="1" applyFont="1" applyFill="1" applyBorder="1" applyAlignment="1">
      <alignment horizontal="left" vertical="center" wrapText="1" indent="1"/>
    </xf>
    <xf numFmtId="0" fontId="3" fillId="3" borderId="3" xfId="0" applyFont="1" applyFill="1" applyBorder="1" applyAlignment="1">
      <alignment horizontal="left" vertical="center" wrapText="1" indent="1"/>
    </xf>
    <xf numFmtId="14" fontId="3" fillId="3" borderId="3" xfId="0" applyNumberFormat="1" applyFont="1" applyFill="1" applyBorder="1" applyAlignment="1">
      <alignment horizontal="left" vertical="center" wrapText="1" indent="1"/>
    </xf>
    <xf numFmtId="0" fontId="2" fillId="4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left" vertical="center" wrapText="1" indent="1"/>
    </xf>
    <xf numFmtId="0" fontId="7" fillId="0" borderId="3" xfId="0" applyFont="1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left" vertical="center" indent="1"/>
    </xf>
    <xf numFmtId="0" fontId="3" fillId="0" borderId="2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9" fillId="0" borderId="0" xfId="0" applyFont="1"/>
    <xf numFmtId="0" fontId="2" fillId="3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</cellXfs>
  <cellStyles count="2">
    <cellStyle name="Heading 2" xfId="1" builtinId="17"/>
    <cellStyle name="Normal" xfId="0" builtinId="0"/>
  </cellStyles>
  <dxfs count="10"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55D-841B-46C7-98DC-A28C9437252D}">
  <dimension ref="A1:E22"/>
  <sheetViews>
    <sheetView workbookViewId="0">
      <selection activeCell="E5" sqref="E5"/>
    </sheetView>
  </sheetViews>
  <sheetFormatPr defaultRowHeight="15" x14ac:dyDescent="0.25"/>
  <cols>
    <col min="1" max="1" width="15.42578125" bestFit="1" customWidth="1"/>
    <col min="2" max="2" width="16" bestFit="1" customWidth="1"/>
    <col min="3" max="3" width="14.7109375" bestFit="1" customWidth="1"/>
    <col min="4" max="4" width="13" bestFit="1" customWidth="1"/>
    <col min="5" max="5" width="13.42578125" bestFit="1" customWidth="1"/>
  </cols>
  <sheetData>
    <row r="1" spans="1:5" ht="34.5" x14ac:dyDescent="0.25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</row>
    <row r="2" spans="1:5" s="6" customFormat="1" ht="17.25" x14ac:dyDescent="0.3">
      <c r="A2" s="10" t="s">
        <v>5</v>
      </c>
      <c r="B2" s="10" t="s">
        <v>6</v>
      </c>
      <c r="C2" s="10" t="s">
        <v>7</v>
      </c>
      <c r="D2" s="11">
        <v>32000</v>
      </c>
      <c r="E2" s="12">
        <v>44573</v>
      </c>
    </row>
    <row r="3" spans="1:5" s="6" customFormat="1" ht="17.25" x14ac:dyDescent="0.3">
      <c r="A3" s="14" t="s">
        <v>8</v>
      </c>
      <c r="B3" s="14" t="s">
        <v>9</v>
      </c>
      <c r="C3" s="14" t="s">
        <v>10</v>
      </c>
      <c r="D3" s="15">
        <v>45000</v>
      </c>
      <c r="E3" s="16">
        <v>44260</v>
      </c>
    </row>
    <row r="4" spans="1:5" s="6" customFormat="1" ht="17.25" x14ac:dyDescent="0.3">
      <c r="A4" s="10" t="s">
        <v>11</v>
      </c>
      <c r="B4" s="10" t="s">
        <v>12</v>
      </c>
      <c r="C4" s="10" t="s">
        <v>13</v>
      </c>
      <c r="D4" s="11">
        <v>38000</v>
      </c>
      <c r="E4" s="12">
        <v>44030</v>
      </c>
    </row>
    <row r="5" spans="1:5" s="6" customFormat="1" ht="17.25" x14ac:dyDescent="0.3">
      <c r="A5" s="14" t="s">
        <v>14</v>
      </c>
      <c r="B5" s="14" t="s">
        <v>15</v>
      </c>
      <c r="C5" s="14" t="s">
        <v>10</v>
      </c>
      <c r="D5" s="15">
        <v>52000</v>
      </c>
      <c r="E5" s="16">
        <v>43779</v>
      </c>
    </row>
    <row r="6" spans="1:5" s="6" customFormat="1" ht="17.25" x14ac:dyDescent="0.3">
      <c r="A6" s="10" t="s">
        <v>16</v>
      </c>
      <c r="B6" s="10" t="s">
        <v>17</v>
      </c>
      <c r="C6" s="10" t="s">
        <v>18</v>
      </c>
      <c r="D6" s="11">
        <v>30000</v>
      </c>
      <c r="E6" s="12">
        <v>45102</v>
      </c>
    </row>
    <row r="7" spans="1:5" s="6" customFormat="1" ht="17.25" x14ac:dyDescent="0.3">
      <c r="A7" s="10" t="s">
        <v>19</v>
      </c>
      <c r="B7" s="14" t="s">
        <v>34</v>
      </c>
      <c r="C7" s="10" t="s">
        <v>7</v>
      </c>
      <c r="D7" s="17">
        <v>21706</v>
      </c>
      <c r="E7" s="18">
        <v>46038</v>
      </c>
    </row>
    <row r="8" spans="1:5" s="6" customFormat="1" ht="17.25" x14ac:dyDescent="0.3">
      <c r="A8" s="10" t="s">
        <v>20</v>
      </c>
      <c r="B8" s="13" t="s">
        <v>34</v>
      </c>
      <c r="C8" s="14" t="s">
        <v>10</v>
      </c>
      <c r="D8" s="17">
        <v>32184</v>
      </c>
      <c r="E8" s="18">
        <v>46156</v>
      </c>
    </row>
    <row r="9" spans="1:5" s="6" customFormat="1" ht="17.25" x14ac:dyDescent="0.3">
      <c r="A9" s="10" t="s">
        <v>21</v>
      </c>
      <c r="B9" s="13" t="s">
        <v>35</v>
      </c>
      <c r="C9" s="10" t="s">
        <v>13</v>
      </c>
      <c r="D9" s="17">
        <v>43902</v>
      </c>
      <c r="E9" s="18">
        <v>46254</v>
      </c>
    </row>
    <row r="10" spans="1:5" s="6" customFormat="1" ht="17.25" x14ac:dyDescent="0.3">
      <c r="A10" s="10" t="s">
        <v>22</v>
      </c>
      <c r="B10" s="13" t="s">
        <v>37</v>
      </c>
      <c r="C10" s="14" t="s">
        <v>10</v>
      </c>
      <c r="D10" s="17">
        <v>42378</v>
      </c>
      <c r="E10" s="18">
        <v>46354</v>
      </c>
    </row>
    <row r="11" spans="1:5" s="6" customFormat="1" ht="17.25" x14ac:dyDescent="0.3">
      <c r="A11" s="10" t="s">
        <v>23</v>
      </c>
      <c r="B11" s="13" t="s">
        <v>36</v>
      </c>
      <c r="C11" s="10" t="s">
        <v>7</v>
      </c>
      <c r="D11" s="17">
        <v>47938</v>
      </c>
      <c r="E11" s="18">
        <v>46342</v>
      </c>
    </row>
    <row r="12" spans="1:5" s="6" customFormat="1" ht="17.25" x14ac:dyDescent="0.3">
      <c r="A12" s="10" t="s">
        <v>24</v>
      </c>
      <c r="B12" s="13" t="s">
        <v>34</v>
      </c>
      <c r="C12" s="14" t="s">
        <v>10</v>
      </c>
      <c r="D12" s="17">
        <v>25587</v>
      </c>
      <c r="E12" s="18">
        <v>46105</v>
      </c>
    </row>
    <row r="13" spans="1:5" s="6" customFormat="1" ht="17.25" x14ac:dyDescent="0.3">
      <c r="A13" s="10" t="s">
        <v>25</v>
      </c>
      <c r="B13" s="13" t="s">
        <v>34</v>
      </c>
      <c r="C13" s="10" t="s">
        <v>13</v>
      </c>
      <c r="D13" s="17">
        <v>41332</v>
      </c>
      <c r="E13" s="18">
        <v>46186</v>
      </c>
    </row>
    <row r="14" spans="1:5" s="6" customFormat="1" ht="17.25" x14ac:dyDescent="0.3">
      <c r="A14" s="10" t="s">
        <v>26</v>
      </c>
      <c r="B14" s="13" t="s">
        <v>36</v>
      </c>
      <c r="C14" s="14" t="s">
        <v>10</v>
      </c>
      <c r="D14" s="17">
        <v>45610</v>
      </c>
      <c r="E14" s="18">
        <v>46352</v>
      </c>
    </row>
    <row r="15" spans="1:5" s="6" customFormat="1" ht="17.25" x14ac:dyDescent="0.3">
      <c r="A15" s="10" t="s">
        <v>27</v>
      </c>
      <c r="B15" s="13" t="s">
        <v>37</v>
      </c>
      <c r="C15" s="10" t="s">
        <v>7</v>
      </c>
      <c r="D15" s="17">
        <v>23404</v>
      </c>
      <c r="E15" s="18">
        <v>46097</v>
      </c>
    </row>
    <row r="16" spans="1:5" s="6" customFormat="1" ht="17.25" x14ac:dyDescent="0.3">
      <c r="A16" s="10" t="s">
        <v>28</v>
      </c>
      <c r="B16" s="13" t="s">
        <v>37</v>
      </c>
      <c r="C16" s="14" t="s">
        <v>10</v>
      </c>
      <c r="D16" s="17">
        <v>41249</v>
      </c>
      <c r="E16" s="18">
        <v>46250</v>
      </c>
    </row>
    <row r="17" spans="1:5" s="6" customFormat="1" ht="17.25" x14ac:dyDescent="0.3">
      <c r="A17" s="10" t="s">
        <v>29</v>
      </c>
      <c r="B17" s="13" t="s">
        <v>36</v>
      </c>
      <c r="C17" s="10" t="s">
        <v>13</v>
      </c>
      <c r="D17" s="17">
        <v>44503</v>
      </c>
      <c r="E17" s="18">
        <v>46257</v>
      </c>
    </row>
    <row r="18" spans="1:5" s="6" customFormat="1" ht="17.25" x14ac:dyDescent="0.3">
      <c r="A18" s="10" t="s">
        <v>30</v>
      </c>
      <c r="B18" s="13" t="s">
        <v>36</v>
      </c>
      <c r="C18" s="14" t="s">
        <v>10</v>
      </c>
      <c r="D18" s="17">
        <v>34452</v>
      </c>
      <c r="E18" s="18">
        <v>46261</v>
      </c>
    </row>
    <row r="19" spans="1:5" s="6" customFormat="1" ht="17.25" x14ac:dyDescent="0.3">
      <c r="A19" s="10" t="s">
        <v>31</v>
      </c>
      <c r="B19" s="13" t="s">
        <v>34</v>
      </c>
      <c r="C19" s="10" t="s">
        <v>7</v>
      </c>
      <c r="D19" s="17">
        <v>31523</v>
      </c>
      <c r="E19" s="18">
        <v>46268</v>
      </c>
    </row>
    <row r="20" spans="1:5" s="6" customFormat="1" ht="17.25" x14ac:dyDescent="0.3">
      <c r="A20" s="10" t="s">
        <v>32</v>
      </c>
      <c r="B20" s="13" t="s">
        <v>36</v>
      </c>
      <c r="C20" s="14" t="s">
        <v>10</v>
      </c>
      <c r="D20" s="17">
        <v>30622</v>
      </c>
      <c r="E20" s="18">
        <v>46160</v>
      </c>
    </row>
    <row r="21" spans="1:5" s="6" customFormat="1" ht="17.25" x14ac:dyDescent="0.3">
      <c r="A21" s="10" t="s">
        <v>33</v>
      </c>
      <c r="B21" s="13" t="s">
        <v>35</v>
      </c>
      <c r="C21" s="10" t="s">
        <v>13</v>
      </c>
      <c r="D21" s="17">
        <v>23703</v>
      </c>
      <c r="E21" s="18">
        <v>46160</v>
      </c>
    </row>
    <row r="22" spans="1:5" ht="18" thickBot="1" x14ac:dyDescent="0.3">
      <c r="C22" s="9"/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EC58-3842-4A28-9896-6885A9C38595}">
  <dimension ref="A1:D22"/>
  <sheetViews>
    <sheetView workbookViewId="0">
      <selection activeCell="H7" sqref="H7"/>
    </sheetView>
  </sheetViews>
  <sheetFormatPr defaultRowHeight="15" x14ac:dyDescent="0.25"/>
  <cols>
    <col min="1" max="1" width="30.7109375" bestFit="1" customWidth="1"/>
    <col min="2" max="2" width="9.140625" bestFit="1" customWidth="1"/>
    <col min="3" max="3" width="16.85546875" bestFit="1" customWidth="1"/>
    <col min="4" max="4" width="15" bestFit="1" customWidth="1"/>
  </cols>
  <sheetData>
    <row r="1" spans="1:4" ht="19.5" thickBot="1" x14ac:dyDescent="0.35">
      <c r="A1" s="41" t="s">
        <v>58</v>
      </c>
      <c r="B1" s="41"/>
      <c r="C1" s="41"/>
      <c r="D1" s="41"/>
    </row>
    <row r="2" spans="1:4" s="4" customFormat="1" ht="18" thickBot="1" x14ac:dyDescent="0.35">
      <c r="A2" s="1" t="s">
        <v>38</v>
      </c>
      <c r="B2" s="1" t="s">
        <v>39</v>
      </c>
      <c r="C2" s="1" t="s">
        <v>40</v>
      </c>
      <c r="D2" s="1" t="s">
        <v>41</v>
      </c>
    </row>
    <row r="3" spans="1:4" s="4" customFormat="1" ht="18" thickBot="1" x14ac:dyDescent="0.35">
      <c r="A3" s="5" t="s">
        <v>42</v>
      </c>
      <c r="B3" s="5" t="s">
        <v>43</v>
      </c>
      <c r="C3" s="19">
        <v>45000</v>
      </c>
      <c r="D3" s="5" t="s">
        <v>44</v>
      </c>
    </row>
    <row r="4" spans="1:4" s="4" customFormat="1" ht="18" thickBot="1" x14ac:dyDescent="0.35">
      <c r="A4" s="7" t="s">
        <v>45</v>
      </c>
      <c r="B4" s="7" t="s">
        <v>46</v>
      </c>
      <c r="C4" s="20">
        <v>1200</v>
      </c>
      <c r="D4" s="7" t="s">
        <v>47</v>
      </c>
    </row>
    <row r="5" spans="1:4" s="4" customFormat="1" ht="18" thickBot="1" x14ac:dyDescent="0.35">
      <c r="A5" s="5" t="s">
        <v>48</v>
      </c>
      <c r="B5" s="5" t="s">
        <v>49</v>
      </c>
      <c r="C5" s="19">
        <v>18000</v>
      </c>
      <c r="D5" s="5" t="s">
        <v>50</v>
      </c>
    </row>
    <row r="6" spans="1:4" s="4" customFormat="1" ht="18" thickBot="1" x14ac:dyDescent="0.35">
      <c r="A6" s="7" t="s">
        <v>51</v>
      </c>
      <c r="B6" s="7" t="s">
        <v>52</v>
      </c>
      <c r="C6" s="20">
        <v>62000</v>
      </c>
      <c r="D6" s="7" t="s">
        <v>53</v>
      </c>
    </row>
    <row r="7" spans="1:4" s="4" customFormat="1" ht="18" thickBot="1" x14ac:dyDescent="0.35">
      <c r="A7" s="5" t="s">
        <v>42</v>
      </c>
      <c r="B7" s="6" t="s">
        <v>46</v>
      </c>
      <c r="C7" s="8">
        <v>36866</v>
      </c>
      <c r="D7" s="6" t="s">
        <v>55</v>
      </c>
    </row>
    <row r="8" spans="1:4" s="4" customFormat="1" ht="18" thickBot="1" x14ac:dyDescent="0.35">
      <c r="A8" s="7" t="s">
        <v>45</v>
      </c>
      <c r="B8" s="6" t="s">
        <v>49</v>
      </c>
      <c r="C8" s="8">
        <v>26662</v>
      </c>
      <c r="D8" s="6" t="s">
        <v>54</v>
      </c>
    </row>
    <row r="9" spans="1:4" s="4" customFormat="1" ht="18" thickBot="1" x14ac:dyDescent="0.35">
      <c r="A9" s="5" t="s">
        <v>48</v>
      </c>
      <c r="B9" s="5" t="s">
        <v>43</v>
      </c>
      <c r="C9" s="8">
        <v>32704</v>
      </c>
      <c r="D9" s="6" t="s">
        <v>56</v>
      </c>
    </row>
    <row r="10" spans="1:4" s="4" customFormat="1" ht="18" thickBot="1" x14ac:dyDescent="0.35">
      <c r="A10" s="7" t="s">
        <v>51</v>
      </c>
      <c r="B10" s="7" t="s">
        <v>46</v>
      </c>
      <c r="C10" s="8">
        <v>6732</v>
      </c>
      <c r="D10" s="6" t="s">
        <v>56</v>
      </c>
    </row>
    <row r="11" spans="1:4" s="4" customFormat="1" ht="18" thickBot="1" x14ac:dyDescent="0.35">
      <c r="A11" s="5" t="s">
        <v>42</v>
      </c>
      <c r="B11" s="5" t="s">
        <v>49</v>
      </c>
      <c r="C11" s="8">
        <v>45157</v>
      </c>
      <c r="D11" s="6" t="s">
        <v>56</v>
      </c>
    </row>
    <row r="12" spans="1:4" s="4" customFormat="1" ht="18" thickBot="1" x14ac:dyDescent="0.35">
      <c r="A12" s="7" t="s">
        <v>45</v>
      </c>
      <c r="B12" s="7" t="s">
        <v>52</v>
      </c>
      <c r="C12" s="8">
        <v>40674</v>
      </c>
      <c r="D12" s="6" t="s">
        <v>57</v>
      </c>
    </row>
    <row r="13" spans="1:4" s="4" customFormat="1" ht="18" thickBot="1" x14ac:dyDescent="0.35">
      <c r="A13" s="5" t="s">
        <v>48</v>
      </c>
      <c r="B13" s="6" t="s">
        <v>46</v>
      </c>
      <c r="C13" s="8">
        <v>40219</v>
      </c>
      <c r="D13" s="6" t="s">
        <v>56</v>
      </c>
    </row>
    <row r="14" spans="1:4" s="4" customFormat="1" ht="18" thickBot="1" x14ac:dyDescent="0.35">
      <c r="A14" s="7" t="s">
        <v>51</v>
      </c>
      <c r="B14" s="6" t="s">
        <v>49</v>
      </c>
      <c r="C14" s="8">
        <v>9771</v>
      </c>
      <c r="D14" s="6" t="s">
        <v>56</v>
      </c>
    </row>
    <row r="15" spans="1:4" s="4" customFormat="1" ht="18" thickBot="1" x14ac:dyDescent="0.35">
      <c r="A15" s="5" t="s">
        <v>42</v>
      </c>
      <c r="B15" s="5" t="s">
        <v>43</v>
      </c>
      <c r="C15" s="8">
        <v>39492</v>
      </c>
      <c r="D15" s="6" t="s">
        <v>54</v>
      </c>
    </row>
    <row r="16" spans="1:4" s="4" customFormat="1" ht="18" thickBot="1" x14ac:dyDescent="0.35">
      <c r="A16" s="7" t="s">
        <v>45</v>
      </c>
      <c r="B16" s="7" t="s">
        <v>46</v>
      </c>
      <c r="C16" s="8">
        <v>43915</v>
      </c>
      <c r="D16" s="6" t="s">
        <v>55</v>
      </c>
    </row>
    <row r="17" spans="1:4" s="4" customFormat="1" ht="18" thickBot="1" x14ac:dyDescent="0.35">
      <c r="A17" s="5" t="s">
        <v>48</v>
      </c>
      <c r="B17" s="5" t="s">
        <v>49</v>
      </c>
      <c r="C17" s="8">
        <v>41066</v>
      </c>
      <c r="D17" s="6" t="s">
        <v>56</v>
      </c>
    </row>
    <row r="18" spans="1:4" s="4" customFormat="1" ht="18" thickBot="1" x14ac:dyDescent="0.35">
      <c r="A18" s="7" t="s">
        <v>51</v>
      </c>
      <c r="B18" s="7" t="s">
        <v>52</v>
      </c>
      <c r="C18" s="8">
        <v>13066</v>
      </c>
      <c r="D18" s="6" t="s">
        <v>56</v>
      </c>
    </row>
    <row r="19" spans="1:4" s="4" customFormat="1" ht="18" thickBot="1" x14ac:dyDescent="0.35">
      <c r="A19" s="5" t="s">
        <v>42</v>
      </c>
      <c r="B19" s="6" t="s">
        <v>46</v>
      </c>
      <c r="C19" s="8">
        <v>29644</v>
      </c>
      <c r="D19" s="6" t="s">
        <v>55</v>
      </c>
    </row>
    <row r="20" spans="1:4" s="4" customFormat="1" ht="18" thickBot="1" x14ac:dyDescent="0.35">
      <c r="A20" s="7" t="s">
        <v>45</v>
      </c>
      <c r="B20" s="6" t="s">
        <v>49</v>
      </c>
      <c r="C20" s="8">
        <v>36869</v>
      </c>
      <c r="D20" s="6" t="s">
        <v>54</v>
      </c>
    </row>
    <row r="21" spans="1:4" s="4" customFormat="1" ht="18" thickBot="1" x14ac:dyDescent="0.35">
      <c r="A21" s="5" t="s">
        <v>48</v>
      </c>
      <c r="B21" s="6" t="s">
        <v>49</v>
      </c>
      <c r="C21" s="8">
        <v>46186</v>
      </c>
      <c r="D21" s="6" t="s">
        <v>54</v>
      </c>
    </row>
    <row r="22" spans="1:4" s="4" customFormat="1" ht="18" thickBot="1" x14ac:dyDescent="0.35">
      <c r="A22" s="5" t="s">
        <v>48</v>
      </c>
      <c r="B22" s="6" t="s">
        <v>43</v>
      </c>
      <c r="C22" s="8">
        <v>49296</v>
      </c>
      <c r="D22" s="6" t="s">
        <v>55</v>
      </c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33DD-B08D-44CC-9983-9ED7ED85B406}">
  <dimension ref="A1:F21"/>
  <sheetViews>
    <sheetView topLeftCell="A4" workbookViewId="0">
      <selection activeCell="B6" sqref="B6:B21"/>
    </sheetView>
  </sheetViews>
  <sheetFormatPr defaultRowHeight="15" x14ac:dyDescent="0.25"/>
  <cols>
    <col min="1" max="1" width="9.7109375" bestFit="1" customWidth="1"/>
    <col min="2" max="2" width="17.5703125" bestFit="1" customWidth="1"/>
    <col min="3" max="3" width="8.140625" bestFit="1" customWidth="1"/>
    <col min="4" max="4" width="9.7109375" bestFit="1" customWidth="1"/>
    <col min="5" max="5" width="9.42578125" bestFit="1" customWidth="1"/>
    <col min="6" max="6" width="16" bestFit="1" customWidth="1"/>
  </cols>
  <sheetData>
    <row r="1" spans="1:6" ht="17.25" x14ac:dyDescent="0.25">
      <c r="A1" s="24" t="s">
        <v>59</v>
      </c>
      <c r="B1" s="24" t="s">
        <v>60</v>
      </c>
      <c r="C1" s="24" t="s">
        <v>61</v>
      </c>
      <c r="D1" s="24" t="s">
        <v>62</v>
      </c>
      <c r="E1" s="24" t="s">
        <v>63</v>
      </c>
      <c r="F1" s="24" t="s">
        <v>64</v>
      </c>
    </row>
    <row r="2" spans="1:6" ht="17.25" x14ac:dyDescent="0.25">
      <c r="A2" s="25">
        <v>1</v>
      </c>
      <c r="B2" s="25" t="s">
        <v>56</v>
      </c>
      <c r="C2" s="25">
        <v>78</v>
      </c>
      <c r="D2" s="25">
        <v>82</v>
      </c>
      <c r="E2" s="25">
        <v>74</v>
      </c>
      <c r="F2" s="26">
        <f>(C2+D2+E2)/300</f>
        <v>0.78</v>
      </c>
    </row>
    <row r="3" spans="1:6" ht="17.25" x14ac:dyDescent="0.25">
      <c r="A3" s="27">
        <v>2</v>
      </c>
      <c r="B3" s="27" t="s">
        <v>65</v>
      </c>
      <c r="C3" s="27">
        <v>65</v>
      </c>
      <c r="D3" s="27">
        <v>70</v>
      </c>
      <c r="E3" s="27">
        <v>68</v>
      </c>
      <c r="F3" s="26">
        <f t="shared" ref="F3:F21" si="0">(C3+D3+E3)/300</f>
        <v>0.67666666666666664</v>
      </c>
    </row>
    <row r="4" spans="1:6" ht="17.25" x14ac:dyDescent="0.25">
      <c r="A4" s="25">
        <v>3</v>
      </c>
      <c r="B4" s="25" t="s">
        <v>66</v>
      </c>
      <c r="C4" s="25">
        <v>90</v>
      </c>
      <c r="D4" s="25">
        <v>88</v>
      </c>
      <c r="E4" s="25">
        <v>92</v>
      </c>
      <c r="F4" s="26">
        <f t="shared" si="0"/>
        <v>0.9</v>
      </c>
    </row>
    <row r="5" spans="1:6" ht="17.25" x14ac:dyDescent="0.25">
      <c r="A5" s="27">
        <v>4</v>
      </c>
      <c r="B5" s="27" t="s">
        <v>67</v>
      </c>
      <c r="C5" s="27">
        <v>35</v>
      </c>
      <c r="D5" s="27">
        <v>40</v>
      </c>
      <c r="E5" s="27">
        <v>38</v>
      </c>
      <c r="F5" s="26">
        <f t="shared" si="0"/>
        <v>0.37666666666666665</v>
      </c>
    </row>
    <row r="6" spans="1:6" ht="17.25" x14ac:dyDescent="0.25">
      <c r="A6" s="25">
        <v>5</v>
      </c>
      <c r="B6" s="25" t="s">
        <v>68</v>
      </c>
      <c r="C6" s="25">
        <v>55</v>
      </c>
      <c r="D6" s="25">
        <v>60</v>
      </c>
      <c r="E6" s="25">
        <v>58</v>
      </c>
      <c r="F6" s="26">
        <f t="shared" si="0"/>
        <v>0.57666666666666666</v>
      </c>
    </row>
    <row r="7" spans="1:6" ht="17.25" x14ac:dyDescent="0.25">
      <c r="A7" s="27">
        <v>6</v>
      </c>
      <c r="B7" s="27" t="s">
        <v>57</v>
      </c>
      <c r="C7" s="28">
        <v>95</v>
      </c>
      <c r="D7" s="28">
        <v>76</v>
      </c>
      <c r="E7" s="28">
        <v>65</v>
      </c>
      <c r="F7" s="26">
        <f t="shared" si="0"/>
        <v>0.78666666666666663</v>
      </c>
    </row>
    <row r="8" spans="1:6" ht="17.25" x14ac:dyDescent="0.25">
      <c r="A8" s="25">
        <v>7</v>
      </c>
      <c r="B8" s="25" t="s">
        <v>69</v>
      </c>
      <c r="C8" s="28">
        <v>100</v>
      </c>
      <c r="D8" s="28">
        <v>88</v>
      </c>
      <c r="E8" s="28">
        <v>86</v>
      </c>
      <c r="F8" s="26">
        <f t="shared" si="0"/>
        <v>0.91333333333333333</v>
      </c>
    </row>
    <row r="9" spans="1:6" ht="17.25" x14ac:dyDescent="0.25">
      <c r="A9" s="27">
        <v>8</v>
      </c>
      <c r="B9" s="27" t="s">
        <v>70</v>
      </c>
      <c r="C9" s="28">
        <v>50</v>
      </c>
      <c r="D9" s="28">
        <v>87</v>
      </c>
      <c r="E9" s="28">
        <v>86</v>
      </c>
      <c r="F9" s="26">
        <f t="shared" si="0"/>
        <v>0.74333333333333329</v>
      </c>
    </row>
    <row r="10" spans="1:6" ht="17.25" x14ac:dyDescent="0.25">
      <c r="A10" s="25">
        <v>9</v>
      </c>
      <c r="B10" s="25" t="s">
        <v>71</v>
      </c>
      <c r="C10" s="28">
        <v>88</v>
      </c>
      <c r="D10" s="28">
        <v>75</v>
      </c>
      <c r="E10" s="28">
        <v>84</v>
      </c>
      <c r="F10" s="26">
        <f t="shared" si="0"/>
        <v>0.82333333333333336</v>
      </c>
    </row>
    <row r="11" spans="1:6" ht="17.25" x14ac:dyDescent="0.25">
      <c r="A11" s="27">
        <v>10</v>
      </c>
      <c r="B11" s="27" t="s">
        <v>72</v>
      </c>
      <c r="C11" s="28">
        <v>99</v>
      </c>
      <c r="D11" s="28">
        <v>86</v>
      </c>
      <c r="E11" s="28">
        <v>68</v>
      </c>
      <c r="F11" s="26">
        <f t="shared" si="0"/>
        <v>0.84333333333333338</v>
      </c>
    </row>
    <row r="12" spans="1:6" ht="17.25" x14ac:dyDescent="0.25">
      <c r="A12" s="25">
        <v>11</v>
      </c>
      <c r="B12" s="25" t="s">
        <v>73</v>
      </c>
      <c r="C12" s="28">
        <v>71</v>
      </c>
      <c r="D12" s="28">
        <v>89</v>
      </c>
      <c r="E12" s="28">
        <v>94</v>
      </c>
      <c r="F12" s="26">
        <f t="shared" si="0"/>
        <v>0.84666666666666668</v>
      </c>
    </row>
    <row r="13" spans="1:6" ht="17.25" x14ac:dyDescent="0.25">
      <c r="A13" s="27">
        <v>12</v>
      </c>
      <c r="B13" s="27" t="s">
        <v>74</v>
      </c>
      <c r="C13" s="28">
        <v>80</v>
      </c>
      <c r="D13" s="28">
        <v>90</v>
      </c>
      <c r="E13" s="28">
        <v>78</v>
      </c>
      <c r="F13" s="26">
        <f t="shared" si="0"/>
        <v>0.82666666666666666</v>
      </c>
    </row>
    <row r="14" spans="1:6" ht="17.25" x14ac:dyDescent="0.25">
      <c r="A14" s="25">
        <v>13</v>
      </c>
      <c r="B14" s="25" t="s">
        <v>75</v>
      </c>
      <c r="C14" s="28">
        <v>72</v>
      </c>
      <c r="D14" s="28">
        <v>79</v>
      </c>
      <c r="E14" s="28">
        <v>71</v>
      </c>
      <c r="F14" s="26">
        <f t="shared" si="0"/>
        <v>0.74</v>
      </c>
    </row>
    <row r="15" spans="1:6" ht="17.25" x14ac:dyDescent="0.25">
      <c r="A15" s="27">
        <v>14</v>
      </c>
      <c r="B15" s="27" t="s">
        <v>76</v>
      </c>
      <c r="C15" s="28">
        <v>72</v>
      </c>
      <c r="D15" s="28">
        <v>82</v>
      </c>
      <c r="E15" s="28">
        <v>82</v>
      </c>
      <c r="F15" s="26">
        <f t="shared" si="0"/>
        <v>0.78666666666666663</v>
      </c>
    </row>
    <row r="16" spans="1:6" ht="17.25" x14ac:dyDescent="0.25">
      <c r="A16" s="25">
        <v>15</v>
      </c>
      <c r="B16" s="25" t="s">
        <v>77</v>
      </c>
      <c r="C16" s="28">
        <v>73</v>
      </c>
      <c r="D16" s="28">
        <v>79</v>
      </c>
      <c r="E16" s="28">
        <v>63</v>
      </c>
      <c r="F16" s="26">
        <f t="shared" si="0"/>
        <v>0.71666666666666667</v>
      </c>
    </row>
    <row r="17" spans="1:6" ht="17.25" x14ac:dyDescent="0.25">
      <c r="A17" s="27">
        <v>16</v>
      </c>
      <c r="B17" s="27" t="s">
        <v>78</v>
      </c>
      <c r="C17" s="28">
        <v>91</v>
      </c>
      <c r="D17" s="28">
        <v>78</v>
      </c>
      <c r="E17" s="28">
        <v>77</v>
      </c>
      <c r="F17" s="26">
        <f t="shared" si="0"/>
        <v>0.82</v>
      </c>
    </row>
    <row r="18" spans="1:6" ht="17.25" x14ac:dyDescent="0.25">
      <c r="A18" s="25">
        <v>17</v>
      </c>
      <c r="B18" s="25" t="s">
        <v>79</v>
      </c>
      <c r="C18" s="28">
        <v>57</v>
      </c>
      <c r="D18" s="28">
        <v>89</v>
      </c>
      <c r="E18" s="28">
        <v>68</v>
      </c>
      <c r="F18" s="26">
        <f t="shared" si="0"/>
        <v>0.71333333333333337</v>
      </c>
    </row>
    <row r="19" spans="1:6" ht="17.25" x14ac:dyDescent="0.25">
      <c r="A19" s="27">
        <v>18</v>
      </c>
      <c r="B19" s="27" t="s">
        <v>80</v>
      </c>
      <c r="C19" s="28">
        <v>54</v>
      </c>
      <c r="D19" s="28">
        <v>90</v>
      </c>
      <c r="E19" s="28">
        <v>90</v>
      </c>
      <c r="F19" s="26">
        <f t="shared" si="0"/>
        <v>0.78</v>
      </c>
    </row>
    <row r="20" spans="1:6" ht="17.25" x14ac:dyDescent="0.25">
      <c r="A20" s="25">
        <v>19</v>
      </c>
      <c r="B20" s="25" t="s">
        <v>81</v>
      </c>
      <c r="C20" s="28">
        <v>100</v>
      </c>
      <c r="D20" s="28">
        <v>83</v>
      </c>
      <c r="E20" s="28">
        <v>81</v>
      </c>
      <c r="F20" s="26">
        <f t="shared" si="0"/>
        <v>0.88</v>
      </c>
    </row>
    <row r="21" spans="1:6" ht="17.25" x14ac:dyDescent="0.25">
      <c r="A21" s="27">
        <v>20</v>
      </c>
      <c r="B21" s="27" t="s">
        <v>82</v>
      </c>
      <c r="C21" s="28">
        <v>97</v>
      </c>
      <c r="D21" s="28">
        <v>75</v>
      </c>
      <c r="E21" s="28">
        <v>83</v>
      </c>
      <c r="F21" s="26">
        <f t="shared" si="0"/>
        <v>0.85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BC02-C379-438A-817E-EEF46A202B70}">
  <dimension ref="A1:H21"/>
  <sheetViews>
    <sheetView workbookViewId="0">
      <selection activeCell="H8" sqref="H8"/>
    </sheetView>
  </sheetViews>
  <sheetFormatPr defaultRowHeight="15" x14ac:dyDescent="0.25"/>
  <cols>
    <col min="1" max="1" width="13.42578125" bestFit="1" customWidth="1"/>
    <col min="2" max="2" width="14.7109375" bestFit="1" customWidth="1"/>
    <col min="3" max="3" width="16.85546875" bestFit="1" customWidth="1"/>
    <col min="5" max="5" width="13.5703125" bestFit="1" customWidth="1"/>
    <col min="6" max="6" width="17.140625" bestFit="1" customWidth="1"/>
    <col min="7" max="7" width="16.5703125" bestFit="1" customWidth="1"/>
    <col min="8" max="8" width="14.7109375" bestFit="1" customWidth="1"/>
  </cols>
  <sheetData>
    <row r="1" spans="1:8" ht="17.25" x14ac:dyDescent="0.25">
      <c r="A1" s="29" t="s">
        <v>83</v>
      </c>
      <c r="B1" s="29" t="s">
        <v>84</v>
      </c>
      <c r="C1" s="29" t="s">
        <v>40</v>
      </c>
      <c r="E1" s="34" t="s">
        <v>105</v>
      </c>
      <c r="F1" s="34" t="s">
        <v>106</v>
      </c>
      <c r="G1" s="34" t="s">
        <v>107</v>
      </c>
      <c r="H1" s="34" t="s">
        <v>108</v>
      </c>
    </row>
    <row r="2" spans="1:8" ht="17.25" x14ac:dyDescent="0.25">
      <c r="A2" s="30" t="s">
        <v>85</v>
      </c>
      <c r="B2" s="31">
        <v>45292</v>
      </c>
      <c r="C2" s="30">
        <v>12000</v>
      </c>
      <c r="E2" s="25">
        <f>SUM(C2:C21)</f>
        <v>917000</v>
      </c>
      <c r="F2" s="27">
        <f>AVERAGE(C2:C21)</f>
        <v>45850</v>
      </c>
      <c r="G2" s="27">
        <f>MAX(C2:C21)</f>
        <v>90000</v>
      </c>
      <c r="H2" s="27">
        <f>MIN(C2:C21)</f>
        <v>8000</v>
      </c>
    </row>
    <row r="3" spans="1:8" ht="17.25" x14ac:dyDescent="0.25">
      <c r="A3" s="32" t="s">
        <v>86</v>
      </c>
      <c r="B3" s="33">
        <v>45294</v>
      </c>
      <c r="C3" s="32">
        <v>25000</v>
      </c>
    </row>
    <row r="4" spans="1:8" ht="17.25" x14ac:dyDescent="0.25">
      <c r="A4" s="30" t="s">
        <v>87</v>
      </c>
      <c r="B4" s="31">
        <v>45296</v>
      </c>
      <c r="C4" s="30">
        <v>8000</v>
      </c>
    </row>
    <row r="5" spans="1:8" ht="17.25" x14ac:dyDescent="0.25">
      <c r="A5" s="32" t="s">
        <v>88</v>
      </c>
      <c r="B5" s="33">
        <v>45299</v>
      </c>
      <c r="C5" s="32">
        <v>32000</v>
      </c>
    </row>
    <row r="6" spans="1:8" ht="17.25" x14ac:dyDescent="0.25">
      <c r="A6" s="30" t="s">
        <v>89</v>
      </c>
      <c r="B6" s="31">
        <v>45301</v>
      </c>
      <c r="C6" s="30">
        <v>15000</v>
      </c>
    </row>
    <row r="7" spans="1:8" ht="17.25" x14ac:dyDescent="0.25">
      <c r="A7" s="32" t="s">
        <v>90</v>
      </c>
      <c r="B7" s="33">
        <v>45303</v>
      </c>
      <c r="C7" s="32">
        <v>20000</v>
      </c>
    </row>
    <row r="8" spans="1:8" ht="17.25" x14ac:dyDescent="0.25">
      <c r="A8" s="30" t="s">
        <v>91</v>
      </c>
      <c r="B8" s="31">
        <v>45305</v>
      </c>
      <c r="C8" s="30">
        <v>25000</v>
      </c>
    </row>
    <row r="9" spans="1:8" ht="17.25" x14ac:dyDescent="0.25">
      <c r="A9" s="32" t="s">
        <v>92</v>
      </c>
      <c r="B9" s="33">
        <v>45307</v>
      </c>
      <c r="C9" s="30">
        <v>30000</v>
      </c>
    </row>
    <row r="10" spans="1:8" ht="17.25" x14ac:dyDescent="0.25">
      <c r="A10" s="30" t="s">
        <v>93</v>
      </c>
      <c r="B10" s="31">
        <v>45309</v>
      </c>
      <c r="C10" s="32">
        <v>35000</v>
      </c>
    </row>
    <row r="11" spans="1:8" ht="17.25" x14ac:dyDescent="0.25">
      <c r="A11" s="32" t="s">
        <v>94</v>
      </c>
      <c r="B11" s="33">
        <v>45311</v>
      </c>
      <c r="C11" s="30">
        <v>40000</v>
      </c>
    </row>
    <row r="12" spans="1:8" ht="17.25" x14ac:dyDescent="0.25">
      <c r="A12" s="30" t="s">
        <v>95</v>
      </c>
      <c r="B12" s="31">
        <v>45313</v>
      </c>
      <c r="C12" s="30">
        <v>45000</v>
      </c>
    </row>
    <row r="13" spans="1:8" ht="17.25" x14ac:dyDescent="0.25">
      <c r="A13" s="32" t="s">
        <v>96</v>
      </c>
      <c r="B13" s="33">
        <v>45315</v>
      </c>
      <c r="C13" s="32">
        <v>50000</v>
      </c>
    </row>
    <row r="14" spans="1:8" ht="17.25" x14ac:dyDescent="0.25">
      <c r="A14" s="30" t="s">
        <v>97</v>
      </c>
      <c r="B14" s="31">
        <v>45317</v>
      </c>
      <c r="C14" s="30">
        <v>55000</v>
      </c>
    </row>
    <row r="15" spans="1:8" ht="17.25" x14ac:dyDescent="0.25">
      <c r="A15" s="32" t="s">
        <v>98</v>
      </c>
      <c r="B15" s="33">
        <v>45319</v>
      </c>
      <c r="C15" s="30">
        <v>60000</v>
      </c>
    </row>
    <row r="16" spans="1:8" ht="17.25" x14ac:dyDescent="0.25">
      <c r="A16" s="30" t="s">
        <v>99</v>
      </c>
      <c r="B16" s="31">
        <v>45321</v>
      </c>
      <c r="C16" s="32">
        <v>65000</v>
      </c>
    </row>
    <row r="17" spans="1:3" ht="17.25" x14ac:dyDescent="0.25">
      <c r="A17" s="32" t="s">
        <v>100</v>
      </c>
      <c r="B17" s="33">
        <v>45323</v>
      </c>
      <c r="C17" s="30">
        <v>70000</v>
      </c>
    </row>
    <row r="18" spans="1:3" ht="17.25" x14ac:dyDescent="0.25">
      <c r="A18" s="30" t="s">
        <v>101</v>
      </c>
      <c r="B18" s="31">
        <v>45325</v>
      </c>
      <c r="C18" s="30">
        <v>75000</v>
      </c>
    </row>
    <row r="19" spans="1:3" ht="17.25" x14ac:dyDescent="0.25">
      <c r="A19" s="32" t="s">
        <v>102</v>
      </c>
      <c r="B19" s="33">
        <v>45327</v>
      </c>
      <c r="C19" s="32">
        <v>80000</v>
      </c>
    </row>
    <row r="20" spans="1:3" ht="17.25" x14ac:dyDescent="0.25">
      <c r="A20" s="30" t="s">
        <v>103</v>
      </c>
      <c r="B20" s="31">
        <v>45329</v>
      </c>
      <c r="C20" s="30">
        <v>85000</v>
      </c>
    </row>
    <row r="21" spans="1:3" ht="17.25" x14ac:dyDescent="0.25">
      <c r="A21" s="32" t="s">
        <v>104</v>
      </c>
      <c r="B21" s="33">
        <v>45331</v>
      </c>
      <c r="C21" s="30">
        <v>90000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FF965-E524-4664-B3A8-C479C2B733CD}">
  <dimension ref="A1:H21"/>
  <sheetViews>
    <sheetView workbookViewId="0">
      <selection activeCell="G6" sqref="G6"/>
    </sheetView>
  </sheetViews>
  <sheetFormatPr defaultRowHeight="15" x14ac:dyDescent="0.25"/>
  <cols>
    <col min="1" max="1" width="19.7109375" bestFit="1" customWidth="1"/>
    <col min="2" max="2" width="14.7109375" bestFit="1" customWidth="1"/>
    <col min="3" max="3" width="9" bestFit="1" customWidth="1"/>
    <col min="4" max="4" width="9" customWidth="1"/>
    <col min="5" max="5" width="8.85546875" bestFit="1" customWidth="1"/>
    <col min="6" max="6" width="33.42578125" bestFit="1" customWidth="1"/>
    <col min="7" max="7" width="18.85546875" bestFit="1" customWidth="1"/>
    <col min="8" max="8" width="22" bestFit="1" customWidth="1"/>
  </cols>
  <sheetData>
    <row r="1" spans="1:8" ht="34.5" x14ac:dyDescent="0.25">
      <c r="A1" s="35" t="s">
        <v>109</v>
      </c>
      <c r="B1" s="35" t="s">
        <v>2</v>
      </c>
      <c r="C1" s="35" t="s">
        <v>3</v>
      </c>
      <c r="F1" s="36" t="s">
        <v>116</v>
      </c>
      <c r="G1" s="36" t="s">
        <v>117</v>
      </c>
      <c r="H1" s="36" t="s">
        <v>118</v>
      </c>
    </row>
    <row r="2" spans="1:8" ht="17.25" x14ac:dyDescent="0.25">
      <c r="A2" s="25" t="s">
        <v>110</v>
      </c>
      <c r="B2" s="25" t="s">
        <v>7</v>
      </c>
      <c r="C2" s="25">
        <v>28000</v>
      </c>
      <c r="E2" s="25" t="s">
        <v>7</v>
      </c>
      <c r="F2" s="25">
        <v>396000</v>
      </c>
      <c r="G2" s="27">
        <f>AVERAGE(C2:C21)</f>
        <v>59250</v>
      </c>
      <c r="H2" s="27">
        <f>COUNT(C2:C21)</f>
        <v>20</v>
      </c>
    </row>
    <row r="3" spans="1:8" ht="17.25" x14ac:dyDescent="0.25">
      <c r="A3" s="27" t="s">
        <v>111</v>
      </c>
      <c r="B3" s="27" t="s">
        <v>10</v>
      </c>
      <c r="C3" s="27">
        <v>45000</v>
      </c>
      <c r="E3" s="27" t="s">
        <v>10</v>
      </c>
      <c r="F3" s="27">
        <v>335000</v>
      </c>
    </row>
    <row r="4" spans="1:8" ht="17.25" x14ac:dyDescent="0.25">
      <c r="A4" s="25" t="s">
        <v>112</v>
      </c>
      <c r="B4" s="25" t="s">
        <v>10</v>
      </c>
      <c r="C4" s="25">
        <v>50000</v>
      </c>
      <c r="E4" s="27" t="s">
        <v>13</v>
      </c>
      <c r="F4" s="25">
        <v>454000</v>
      </c>
    </row>
    <row r="5" spans="1:8" ht="17.25" x14ac:dyDescent="0.25">
      <c r="A5" s="27" t="s">
        <v>113</v>
      </c>
      <c r="B5" s="27" t="s">
        <v>13</v>
      </c>
      <c r="C5" s="27">
        <v>42000</v>
      </c>
    </row>
    <row r="6" spans="1:8" ht="17.25" x14ac:dyDescent="0.25">
      <c r="A6" s="25" t="s">
        <v>114</v>
      </c>
      <c r="B6" s="25" t="s">
        <v>7</v>
      </c>
      <c r="C6" s="25">
        <v>30000</v>
      </c>
    </row>
    <row r="7" spans="1:8" ht="17.25" x14ac:dyDescent="0.25">
      <c r="A7" s="27" t="s">
        <v>115</v>
      </c>
      <c r="B7" s="27" t="s">
        <v>13</v>
      </c>
      <c r="C7" s="27">
        <v>38000</v>
      </c>
    </row>
    <row r="8" spans="1:8" ht="17.25" x14ac:dyDescent="0.25">
      <c r="A8" s="25" t="s">
        <v>68</v>
      </c>
      <c r="B8" s="25" t="s">
        <v>7</v>
      </c>
      <c r="C8" s="25">
        <v>42000</v>
      </c>
    </row>
    <row r="9" spans="1:8" ht="17.25" x14ac:dyDescent="0.25">
      <c r="A9" s="27" t="s">
        <v>57</v>
      </c>
      <c r="B9" s="27" t="s">
        <v>10</v>
      </c>
      <c r="C9" s="27">
        <v>46000</v>
      </c>
    </row>
    <row r="10" spans="1:8" ht="17.25" x14ac:dyDescent="0.25">
      <c r="A10" s="25" t="s">
        <v>69</v>
      </c>
      <c r="B10" s="25" t="s">
        <v>10</v>
      </c>
      <c r="C10" s="27">
        <v>50000</v>
      </c>
    </row>
    <row r="11" spans="1:8" ht="17.25" x14ac:dyDescent="0.25">
      <c r="A11" s="27" t="s">
        <v>70</v>
      </c>
      <c r="B11" s="27" t="s">
        <v>13</v>
      </c>
      <c r="C11" s="25">
        <v>54000</v>
      </c>
    </row>
    <row r="12" spans="1:8" ht="17.25" x14ac:dyDescent="0.25">
      <c r="A12" s="25" t="s">
        <v>71</v>
      </c>
      <c r="B12" s="25" t="s">
        <v>7</v>
      </c>
      <c r="C12" s="27">
        <v>58000</v>
      </c>
    </row>
    <row r="13" spans="1:8" ht="17.25" x14ac:dyDescent="0.25">
      <c r="A13" s="27" t="s">
        <v>72</v>
      </c>
      <c r="B13" s="27" t="s">
        <v>13</v>
      </c>
      <c r="C13" s="27">
        <v>62000</v>
      </c>
    </row>
    <row r="14" spans="1:8" ht="17.25" x14ac:dyDescent="0.25">
      <c r="A14" s="25" t="s">
        <v>73</v>
      </c>
      <c r="B14" s="25" t="s">
        <v>7</v>
      </c>
      <c r="C14" s="25">
        <v>66000</v>
      </c>
    </row>
    <row r="15" spans="1:8" ht="17.25" x14ac:dyDescent="0.25">
      <c r="A15" s="27" t="s">
        <v>74</v>
      </c>
      <c r="B15" s="27" t="s">
        <v>10</v>
      </c>
      <c r="C15" s="27">
        <v>70000</v>
      </c>
    </row>
    <row r="16" spans="1:8" ht="17.25" x14ac:dyDescent="0.25">
      <c r="A16" s="25" t="s">
        <v>75</v>
      </c>
      <c r="B16" s="25" t="s">
        <v>10</v>
      </c>
      <c r="C16" s="27">
        <v>74000</v>
      </c>
    </row>
    <row r="17" spans="1:3" ht="17.25" x14ac:dyDescent="0.25">
      <c r="A17" s="27" t="s">
        <v>76</v>
      </c>
      <c r="B17" s="27" t="s">
        <v>13</v>
      </c>
      <c r="C17" s="25">
        <v>78000</v>
      </c>
    </row>
    <row r="18" spans="1:3" ht="17.25" x14ac:dyDescent="0.25">
      <c r="A18" s="25" t="s">
        <v>77</v>
      </c>
      <c r="B18" s="25" t="s">
        <v>7</v>
      </c>
      <c r="C18" s="27">
        <v>82000</v>
      </c>
    </row>
    <row r="19" spans="1:3" ht="17.25" x14ac:dyDescent="0.25">
      <c r="A19" s="27" t="s">
        <v>78</v>
      </c>
      <c r="B19" s="27" t="s">
        <v>13</v>
      </c>
      <c r="C19" s="27">
        <v>86000</v>
      </c>
    </row>
    <row r="20" spans="1:3" ht="17.25" x14ac:dyDescent="0.25">
      <c r="A20" s="25" t="s">
        <v>79</v>
      </c>
      <c r="B20" s="25" t="s">
        <v>7</v>
      </c>
      <c r="C20" s="25">
        <v>90000</v>
      </c>
    </row>
    <row r="21" spans="1:3" ht="17.25" x14ac:dyDescent="0.25">
      <c r="A21" s="27" t="s">
        <v>80</v>
      </c>
      <c r="B21" s="27" t="s">
        <v>13</v>
      </c>
      <c r="C21" s="27">
        <v>94000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82A19-C543-4912-BAB5-97C7A785C958}">
  <dimension ref="A1:I21"/>
  <sheetViews>
    <sheetView topLeftCell="A4" workbookViewId="0">
      <selection activeCell="A7" sqref="A7:A21"/>
    </sheetView>
  </sheetViews>
  <sheetFormatPr defaultRowHeight="15" x14ac:dyDescent="0.25"/>
  <cols>
    <col min="1" max="1" width="17.5703125" bestFit="1" customWidth="1"/>
    <col min="2" max="6" width="7.7109375" bestFit="1" customWidth="1"/>
    <col min="8" max="8" width="16" bestFit="1" customWidth="1"/>
    <col min="9" max="9" width="15.28515625" bestFit="1" customWidth="1"/>
  </cols>
  <sheetData>
    <row r="1" spans="1:9" ht="17.25" x14ac:dyDescent="0.25">
      <c r="A1" s="29" t="s">
        <v>60</v>
      </c>
      <c r="B1" s="29" t="s">
        <v>119</v>
      </c>
      <c r="C1" s="29" t="s">
        <v>120</v>
      </c>
      <c r="D1" s="29" t="s">
        <v>121</v>
      </c>
      <c r="E1" s="29" t="s">
        <v>122</v>
      </c>
      <c r="F1" s="29" t="s">
        <v>123</v>
      </c>
      <c r="H1" s="38" t="s">
        <v>126</v>
      </c>
      <c r="I1" s="38" t="s">
        <v>127</v>
      </c>
    </row>
    <row r="2" spans="1:9" ht="17.25" x14ac:dyDescent="0.25">
      <c r="A2" s="25" t="s">
        <v>56</v>
      </c>
      <c r="B2" s="25" t="s">
        <v>124</v>
      </c>
      <c r="C2" s="25" t="s">
        <v>125</v>
      </c>
      <c r="D2" s="25" t="s">
        <v>124</v>
      </c>
      <c r="E2" s="25" t="s">
        <v>124</v>
      </c>
      <c r="F2" s="25" t="s">
        <v>124</v>
      </c>
      <c r="H2" s="25">
        <f>COUNTIF(B2:F21, "P")</f>
        <v>58</v>
      </c>
      <c r="I2" s="25">
        <f>COUNTIF(B2:F21, "A")</f>
        <v>42</v>
      </c>
    </row>
    <row r="3" spans="1:9" ht="17.25" x14ac:dyDescent="0.25">
      <c r="A3" s="27" t="s">
        <v>65</v>
      </c>
      <c r="B3" s="27" t="s">
        <v>124</v>
      </c>
      <c r="C3" s="27" t="s">
        <v>124</v>
      </c>
      <c r="D3" s="27" t="s">
        <v>124</v>
      </c>
      <c r="E3" s="27" t="s">
        <v>125</v>
      </c>
      <c r="F3" s="27" t="s">
        <v>124</v>
      </c>
    </row>
    <row r="4" spans="1:9" ht="17.25" x14ac:dyDescent="0.25">
      <c r="A4" s="25" t="s">
        <v>66</v>
      </c>
      <c r="B4" s="25" t="s">
        <v>125</v>
      </c>
      <c r="C4" s="25" t="s">
        <v>124</v>
      </c>
      <c r="D4" s="25" t="s">
        <v>124</v>
      </c>
      <c r="E4" s="25" t="s">
        <v>124</v>
      </c>
      <c r="F4" s="25" t="s">
        <v>124</v>
      </c>
    </row>
    <row r="5" spans="1:9" ht="17.25" x14ac:dyDescent="0.25">
      <c r="A5" s="27" t="s">
        <v>67</v>
      </c>
      <c r="B5" s="27" t="s">
        <v>124</v>
      </c>
      <c r="C5" s="27" t="s">
        <v>125</v>
      </c>
      <c r="D5" s="27" t="s">
        <v>125</v>
      </c>
      <c r="E5" s="27" t="s">
        <v>124</v>
      </c>
      <c r="F5" s="27" t="s">
        <v>125</v>
      </c>
    </row>
    <row r="6" spans="1:9" ht="17.25" x14ac:dyDescent="0.3">
      <c r="A6" s="25" t="s">
        <v>68</v>
      </c>
      <c r="B6" s="37" t="s">
        <v>124</v>
      </c>
      <c r="C6" s="37" t="s">
        <v>124</v>
      </c>
      <c r="D6" s="37" t="s">
        <v>125</v>
      </c>
      <c r="E6" s="37" t="s">
        <v>125</v>
      </c>
      <c r="F6" s="37" t="s">
        <v>124</v>
      </c>
    </row>
    <row r="7" spans="1:9" ht="17.25" x14ac:dyDescent="0.3">
      <c r="A7" s="27" t="s">
        <v>57</v>
      </c>
      <c r="B7" s="37" t="s">
        <v>124</v>
      </c>
      <c r="C7" s="37" t="s">
        <v>124</v>
      </c>
      <c r="D7" s="37" t="s">
        <v>125</v>
      </c>
      <c r="E7" s="37" t="s">
        <v>124</v>
      </c>
      <c r="F7" s="37" t="s">
        <v>124</v>
      </c>
    </row>
    <row r="8" spans="1:9" ht="17.25" x14ac:dyDescent="0.3">
      <c r="A8" s="25" t="s">
        <v>69</v>
      </c>
      <c r="B8" s="37" t="s">
        <v>124</v>
      </c>
      <c r="C8" s="37" t="s">
        <v>124</v>
      </c>
      <c r="D8" s="37" t="s">
        <v>125</v>
      </c>
      <c r="E8" s="37" t="s">
        <v>125</v>
      </c>
      <c r="F8" s="37" t="s">
        <v>125</v>
      </c>
    </row>
    <row r="9" spans="1:9" ht="17.25" x14ac:dyDescent="0.3">
      <c r="A9" s="27" t="s">
        <v>70</v>
      </c>
      <c r="B9" s="37" t="s">
        <v>125</v>
      </c>
      <c r="C9" s="37" t="s">
        <v>125</v>
      </c>
      <c r="D9" s="37" t="s">
        <v>124</v>
      </c>
      <c r="E9" s="37" t="s">
        <v>125</v>
      </c>
      <c r="F9" s="37" t="s">
        <v>124</v>
      </c>
    </row>
    <row r="10" spans="1:9" ht="17.25" x14ac:dyDescent="0.3">
      <c r="A10" s="25" t="s">
        <v>71</v>
      </c>
      <c r="B10" s="37" t="s">
        <v>124</v>
      </c>
      <c r="C10" s="37" t="s">
        <v>125</v>
      </c>
      <c r="D10" s="37" t="s">
        <v>124</v>
      </c>
      <c r="E10" s="37" t="s">
        <v>125</v>
      </c>
      <c r="F10" s="37" t="s">
        <v>125</v>
      </c>
    </row>
    <row r="11" spans="1:9" ht="17.25" x14ac:dyDescent="0.3">
      <c r="A11" s="27" t="s">
        <v>72</v>
      </c>
      <c r="B11" s="37" t="s">
        <v>124</v>
      </c>
      <c r="C11" s="37" t="s">
        <v>124</v>
      </c>
      <c r="D11" s="37" t="s">
        <v>124</v>
      </c>
      <c r="E11" s="37" t="s">
        <v>125</v>
      </c>
      <c r="F11" s="37" t="s">
        <v>124</v>
      </c>
    </row>
    <row r="12" spans="1:9" ht="17.25" x14ac:dyDescent="0.3">
      <c r="A12" s="25" t="s">
        <v>73</v>
      </c>
      <c r="B12" s="37" t="s">
        <v>125</v>
      </c>
      <c r="C12" s="37" t="s">
        <v>124</v>
      </c>
      <c r="D12" s="37" t="s">
        <v>124</v>
      </c>
      <c r="E12" s="37" t="s">
        <v>124</v>
      </c>
      <c r="F12" s="37" t="s">
        <v>125</v>
      </c>
    </row>
    <row r="13" spans="1:9" ht="17.25" x14ac:dyDescent="0.3">
      <c r="A13" s="27" t="s">
        <v>74</v>
      </c>
      <c r="B13" s="37" t="s">
        <v>124</v>
      </c>
      <c r="C13" s="37" t="s">
        <v>124</v>
      </c>
      <c r="D13" s="37" t="s">
        <v>124</v>
      </c>
      <c r="E13" s="37" t="s">
        <v>124</v>
      </c>
      <c r="F13" s="37" t="s">
        <v>124</v>
      </c>
    </row>
    <row r="14" spans="1:9" ht="17.25" x14ac:dyDescent="0.3">
      <c r="A14" s="25" t="s">
        <v>75</v>
      </c>
      <c r="B14" s="37" t="s">
        <v>124</v>
      </c>
      <c r="C14" s="37" t="s">
        <v>125</v>
      </c>
      <c r="D14" s="37" t="s">
        <v>124</v>
      </c>
      <c r="E14" s="37" t="s">
        <v>124</v>
      </c>
      <c r="F14" s="37" t="s">
        <v>124</v>
      </c>
    </row>
    <row r="15" spans="1:9" ht="17.25" x14ac:dyDescent="0.3">
      <c r="A15" s="27" t="s">
        <v>76</v>
      </c>
      <c r="B15" s="37" t="s">
        <v>125</v>
      </c>
      <c r="C15" s="37" t="s">
        <v>124</v>
      </c>
      <c r="D15" s="37" t="s">
        <v>124</v>
      </c>
      <c r="E15" s="37" t="s">
        <v>124</v>
      </c>
      <c r="F15" s="37" t="s">
        <v>125</v>
      </c>
    </row>
    <row r="16" spans="1:9" ht="17.25" x14ac:dyDescent="0.3">
      <c r="A16" s="25" t="s">
        <v>77</v>
      </c>
      <c r="B16" s="37" t="s">
        <v>125</v>
      </c>
      <c r="C16" s="37" t="s">
        <v>125</v>
      </c>
      <c r="D16" s="37" t="s">
        <v>124</v>
      </c>
      <c r="E16" s="37" t="s">
        <v>125</v>
      </c>
      <c r="F16" s="37" t="s">
        <v>125</v>
      </c>
    </row>
    <row r="17" spans="1:6" ht="17.25" x14ac:dyDescent="0.3">
      <c r="A17" s="27" t="s">
        <v>78</v>
      </c>
      <c r="B17" s="37" t="s">
        <v>124</v>
      </c>
      <c r="C17" s="37" t="s">
        <v>124</v>
      </c>
      <c r="D17" s="37" t="s">
        <v>124</v>
      </c>
      <c r="E17" s="37" t="s">
        <v>124</v>
      </c>
      <c r="F17" s="37" t="s">
        <v>124</v>
      </c>
    </row>
    <row r="18" spans="1:6" ht="17.25" x14ac:dyDescent="0.3">
      <c r="A18" s="25" t="s">
        <v>79</v>
      </c>
      <c r="B18" s="37" t="s">
        <v>125</v>
      </c>
      <c r="C18" s="37" t="s">
        <v>124</v>
      </c>
      <c r="D18" s="37" t="s">
        <v>124</v>
      </c>
      <c r="E18" s="37" t="s">
        <v>125</v>
      </c>
      <c r="F18" s="37" t="s">
        <v>125</v>
      </c>
    </row>
    <row r="19" spans="1:6" ht="17.25" x14ac:dyDescent="0.3">
      <c r="A19" s="27" t="s">
        <v>80</v>
      </c>
      <c r="B19" s="37" t="s">
        <v>125</v>
      </c>
      <c r="C19" s="37" t="s">
        <v>124</v>
      </c>
      <c r="D19" s="37" t="s">
        <v>125</v>
      </c>
      <c r="E19" s="37" t="s">
        <v>125</v>
      </c>
      <c r="F19" s="37" t="s">
        <v>125</v>
      </c>
    </row>
    <row r="20" spans="1:6" ht="17.25" x14ac:dyDescent="0.3">
      <c r="A20" s="25" t="s">
        <v>81</v>
      </c>
      <c r="B20" s="37" t="s">
        <v>124</v>
      </c>
      <c r="C20" s="37" t="s">
        <v>125</v>
      </c>
      <c r="D20" s="37" t="s">
        <v>125</v>
      </c>
      <c r="E20" s="37" t="s">
        <v>125</v>
      </c>
      <c r="F20" s="37" t="s">
        <v>125</v>
      </c>
    </row>
    <row r="21" spans="1:6" ht="17.25" x14ac:dyDescent="0.3">
      <c r="A21" s="27" t="s">
        <v>82</v>
      </c>
      <c r="B21" s="37" t="s">
        <v>124</v>
      </c>
      <c r="C21" s="37" t="s">
        <v>125</v>
      </c>
      <c r="D21" s="37" t="s">
        <v>125</v>
      </c>
      <c r="E21" s="37" t="s">
        <v>125</v>
      </c>
      <c r="F21" s="37" t="s">
        <v>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DD31D-B701-4E74-BED4-FDC6325403B8}">
  <dimension ref="A1:E21"/>
  <sheetViews>
    <sheetView workbookViewId="0">
      <selection activeCell="E7" sqref="E7"/>
    </sheetView>
  </sheetViews>
  <sheetFormatPr defaultRowHeight="15" x14ac:dyDescent="0.25"/>
  <cols>
    <col min="1" max="1" width="11" bestFit="1" customWidth="1"/>
    <col min="2" max="2" width="16.85546875" bestFit="1" customWidth="1"/>
    <col min="4" max="4" width="30" bestFit="1" customWidth="1"/>
    <col min="5" max="5" width="28.5703125" bestFit="1" customWidth="1"/>
  </cols>
  <sheetData>
    <row r="1" spans="1:5" ht="18" thickBot="1" x14ac:dyDescent="0.3">
      <c r="A1" s="1" t="s">
        <v>128</v>
      </c>
      <c r="B1" s="1" t="s">
        <v>40</v>
      </c>
      <c r="D1" s="39" t="s">
        <v>149</v>
      </c>
      <c r="E1" s="39" t="s">
        <v>150</v>
      </c>
    </row>
    <row r="2" spans="1:5" ht="18" thickBot="1" x14ac:dyDescent="0.3">
      <c r="A2" s="2" t="s">
        <v>129</v>
      </c>
      <c r="B2" s="2">
        <v>4500</v>
      </c>
      <c r="D2" s="40">
        <f>COUNTIF(B2:B21, "&gt;10,000")</f>
        <v>17</v>
      </c>
      <c r="E2" s="40">
        <f>COUNTIF(B2:B21, "&lt;5000")</f>
        <v>2</v>
      </c>
    </row>
    <row r="3" spans="1:5" ht="18" thickBot="1" x14ac:dyDescent="0.3">
      <c r="A3" s="3" t="s">
        <v>130</v>
      </c>
      <c r="B3" s="3">
        <v>12000</v>
      </c>
    </row>
    <row r="4" spans="1:5" ht="18" thickBot="1" x14ac:dyDescent="0.3">
      <c r="A4" s="2" t="s">
        <v>131</v>
      </c>
      <c r="B4" s="2">
        <v>8000</v>
      </c>
    </row>
    <row r="5" spans="1:5" ht="18" thickBot="1" x14ac:dyDescent="0.3">
      <c r="A5" s="3" t="s">
        <v>132</v>
      </c>
      <c r="B5" s="3">
        <v>25000</v>
      </c>
    </row>
    <row r="6" spans="1:5" ht="18" thickBot="1" x14ac:dyDescent="0.3">
      <c r="A6" s="2" t="s">
        <v>133</v>
      </c>
      <c r="B6" s="2">
        <v>3000</v>
      </c>
    </row>
    <row r="7" spans="1:5" ht="18" thickBot="1" x14ac:dyDescent="0.3">
      <c r="A7" s="3" t="s">
        <v>134</v>
      </c>
      <c r="B7" s="3">
        <v>15000</v>
      </c>
    </row>
    <row r="8" spans="1:5" ht="18" thickBot="1" x14ac:dyDescent="0.3">
      <c r="A8" s="3" t="s">
        <v>135</v>
      </c>
      <c r="B8" s="22">
        <v>20000</v>
      </c>
    </row>
    <row r="9" spans="1:5" ht="18" thickBot="1" x14ac:dyDescent="0.3">
      <c r="A9" s="3" t="s">
        <v>136</v>
      </c>
      <c r="B9" s="21">
        <v>25000</v>
      </c>
    </row>
    <row r="10" spans="1:5" ht="18" thickBot="1" x14ac:dyDescent="0.3">
      <c r="A10" s="3" t="s">
        <v>137</v>
      </c>
      <c r="B10" s="3">
        <v>30000</v>
      </c>
    </row>
    <row r="11" spans="1:5" ht="18" thickBot="1" x14ac:dyDescent="0.3">
      <c r="A11" s="3" t="s">
        <v>138</v>
      </c>
      <c r="B11" s="22">
        <v>35000</v>
      </c>
    </row>
    <row r="12" spans="1:5" ht="18" thickBot="1" x14ac:dyDescent="0.3">
      <c r="A12" s="3" t="s">
        <v>139</v>
      </c>
      <c r="B12" s="21">
        <v>40000</v>
      </c>
    </row>
    <row r="13" spans="1:5" ht="18" thickBot="1" x14ac:dyDescent="0.3">
      <c r="A13" s="3" t="s">
        <v>140</v>
      </c>
      <c r="B13" s="3">
        <v>45000</v>
      </c>
    </row>
    <row r="14" spans="1:5" ht="18" thickBot="1" x14ac:dyDescent="0.3">
      <c r="A14" s="3" t="s">
        <v>141</v>
      </c>
      <c r="B14" s="22">
        <v>50000</v>
      </c>
    </row>
    <row r="15" spans="1:5" ht="18" thickBot="1" x14ac:dyDescent="0.3">
      <c r="A15" s="3" t="s">
        <v>142</v>
      </c>
      <c r="B15" s="21">
        <v>55000</v>
      </c>
    </row>
    <row r="16" spans="1:5" ht="18" thickBot="1" x14ac:dyDescent="0.3">
      <c r="A16" s="3" t="s">
        <v>143</v>
      </c>
      <c r="B16" s="3">
        <v>60000</v>
      </c>
    </row>
    <row r="17" spans="1:2" ht="18" thickBot="1" x14ac:dyDescent="0.3">
      <c r="A17" s="3" t="s">
        <v>144</v>
      </c>
      <c r="B17" s="22">
        <v>65000</v>
      </c>
    </row>
    <row r="18" spans="1:2" ht="18" thickBot="1" x14ac:dyDescent="0.3">
      <c r="A18" s="3" t="s">
        <v>145</v>
      </c>
      <c r="B18" s="21">
        <v>70000</v>
      </c>
    </row>
    <row r="19" spans="1:2" ht="18" thickBot="1" x14ac:dyDescent="0.3">
      <c r="A19" s="3" t="s">
        <v>146</v>
      </c>
      <c r="B19" s="3">
        <v>75000</v>
      </c>
    </row>
    <row r="20" spans="1:2" ht="18" thickBot="1" x14ac:dyDescent="0.3">
      <c r="A20" s="3" t="s">
        <v>147</v>
      </c>
      <c r="B20" s="22">
        <v>80000</v>
      </c>
    </row>
    <row r="21" spans="1:2" ht="18" thickBot="1" x14ac:dyDescent="0.3">
      <c r="A21" s="3" t="s">
        <v>148</v>
      </c>
      <c r="B21" s="21">
        <v>85000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E9C25-3FC6-459B-8120-B9B970F3C71A}">
  <dimension ref="A1:B21"/>
  <sheetViews>
    <sheetView workbookViewId="0">
      <selection activeCell="K8" sqref="K8"/>
    </sheetView>
  </sheetViews>
  <sheetFormatPr defaultRowHeight="15" x14ac:dyDescent="0.25"/>
  <cols>
    <col min="1" max="1" width="15.140625" bestFit="1" customWidth="1"/>
    <col min="2" max="2" width="16.85546875" bestFit="1" customWidth="1"/>
  </cols>
  <sheetData>
    <row r="1" spans="1:2" ht="18" thickBot="1" x14ac:dyDescent="0.3">
      <c r="A1" s="1" t="s">
        <v>151</v>
      </c>
      <c r="B1" s="1" t="s">
        <v>40</v>
      </c>
    </row>
    <row r="2" spans="1:2" ht="18" thickBot="1" x14ac:dyDescent="0.3">
      <c r="A2" s="5" t="s">
        <v>152</v>
      </c>
      <c r="B2" s="5">
        <v>22000</v>
      </c>
    </row>
    <row r="3" spans="1:2" ht="18" thickBot="1" x14ac:dyDescent="0.3">
      <c r="A3" s="7" t="s">
        <v>153</v>
      </c>
      <c r="B3" s="7">
        <v>3500</v>
      </c>
    </row>
    <row r="4" spans="1:2" ht="18" thickBot="1" x14ac:dyDescent="0.3">
      <c r="A4" s="5" t="s">
        <v>154</v>
      </c>
      <c r="B4" s="5">
        <v>58000</v>
      </c>
    </row>
    <row r="5" spans="1:2" ht="18" thickBot="1" x14ac:dyDescent="0.3">
      <c r="A5" s="7" t="s">
        <v>155</v>
      </c>
      <c r="B5" s="7">
        <v>1800</v>
      </c>
    </row>
    <row r="6" spans="1:2" ht="18" thickBot="1" x14ac:dyDescent="0.3">
      <c r="A6" s="5" t="s">
        <v>156</v>
      </c>
      <c r="B6" s="5">
        <v>12000</v>
      </c>
    </row>
    <row r="7" spans="1:2" ht="18" thickBot="1" x14ac:dyDescent="0.35">
      <c r="A7" s="5" t="s">
        <v>152</v>
      </c>
      <c r="B7" s="23">
        <v>81942</v>
      </c>
    </row>
    <row r="8" spans="1:2" ht="18" thickBot="1" x14ac:dyDescent="0.35">
      <c r="A8" s="7" t="s">
        <v>153</v>
      </c>
      <c r="B8" s="23">
        <v>56389</v>
      </c>
    </row>
    <row r="9" spans="1:2" ht="18" thickBot="1" x14ac:dyDescent="0.35">
      <c r="A9" s="5" t="s">
        <v>154</v>
      </c>
      <c r="B9" s="23">
        <v>58358</v>
      </c>
    </row>
    <row r="10" spans="1:2" ht="18" thickBot="1" x14ac:dyDescent="0.35">
      <c r="A10" s="7" t="s">
        <v>155</v>
      </c>
      <c r="B10" s="23">
        <v>63339</v>
      </c>
    </row>
    <row r="11" spans="1:2" ht="18" thickBot="1" x14ac:dyDescent="0.35">
      <c r="A11" s="5" t="s">
        <v>156</v>
      </c>
      <c r="B11" s="23">
        <v>84889</v>
      </c>
    </row>
    <row r="12" spans="1:2" ht="18" thickBot="1" x14ac:dyDescent="0.35">
      <c r="A12" s="5" t="s">
        <v>152</v>
      </c>
      <c r="B12" s="23">
        <v>50515</v>
      </c>
    </row>
    <row r="13" spans="1:2" ht="18" thickBot="1" x14ac:dyDescent="0.35">
      <c r="A13" s="7" t="s">
        <v>153</v>
      </c>
      <c r="B13" s="23">
        <v>15390</v>
      </c>
    </row>
    <row r="14" spans="1:2" ht="18" thickBot="1" x14ac:dyDescent="0.35">
      <c r="A14" s="5" t="s">
        <v>154</v>
      </c>
      <c r="B14" s="23">
        <v>56500</v>
      </c>
    </row>
    <row r="15" spans="1:2" ht="18" thickBot="1" x14ac:dyDescent="0.35">
      <c r="A15" s="7" t="s">
        <v>155</v>
      </c>
      <c r="B15" s="23">
        <v>54365</v>
      </c>
    </row>
    <row r="16" spans="1:2" ht="18" thickBot="1" x14ac:dyDescent="0.35">
      <c r="A16" s="5" t="s">
        <v>156</v>
      </c>
      <c r="B16" s="23">
        <v>42390</v>
      </c>
    </row>
    <row r="17" spans="1:2" ht="18" thickBot="1" x14ac:dyDescent="0.35">
      <c r="A17" s="5" t="s">
        <v>152</v>
      </c>
      <c r="B17" s="23">
        <v>97853</v>
      </c>
    </row>
    <row r="18" spans="1:2" ht="18" thickBot="1" x14ac:dyDescent="0.35">
      <c r="A18" s="7" t="s">
        <v>153</v>
      </c>
      <c r="B18" s="23">
        <v>28202</v>
      </c>
    </row>
    <row r="19" spans="1:2" ht="18" thickBot="1" x14ac:dyDescent="0.35">
      <c r="A19" s="5" t="s">
        <v>154</v>
      </c>
      <c r="B19" s="23">
        <v>11617</v>
      </c>
    </row>
    <row r="20" spans="1:2" ht="18" thickBot="1" x14ac:dyDescent="0.35">
      <c r="A20" s="7" t="s">
        <v>155</v>
      </c>
      <c r="B20" s="23">
        <v>55275</v>
      </c>
    </row>
    <row r="21" spans="1:2" ht="18" thickBot="1" x14ac:dyDescent="0.35">
      <c r="A21" s="5" t="s">
        <v>156</v>
      </c>
      <c r="B21" s="23">
        <v>96434</v>
      </c>
    </row>
  </sheetData>
  <conditionalFormatting sqref="B2:B21">
    <cfRule type="cellIs" dxfId="9" priority="2" operator="greaterThan">
      <formula>20000</formula>
    </cfRule>
    <cfRule type="cellIs" dxfId="8" priority="1" operator="lessThan">
      <formula>5000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96A74-3896-4441-BD05-E64155A210F8}">
  <dimension ref="A1:C21"/>
  <sheetViews>
    <sheetView topLeftCell="A4" workbookViewId="0">
      <selection activeCell="C15" sqref="C15"/>
    </sheetView>
  </sheetViews>
  <sheetFormatPr defaultRowHeight="15" x14ac:dyDescent="0.25"/>
  <cols>
    <col min="1" max="1" width="9.7109375" bestFit="1" customWidth="1"/>
    <col min="2" max="2" width="11" bestFit="1" customWidth="1"/>
    <col min="3" max="3" width="8.140625" bestFit="1" customWidth="1"/>
  </cols>
  <sheetData>
    <row r="1" spans="1:3" ht="17.25" x14ac:dyDescent="0.25">
      <c r="A1" s="29" t="s">
        <v>59</v>
      </c>
      <c r="B1" s="29" t="s">
        <v>1</v>
      </c>
      <c r="C1" s="29" t="s">
        <v>157</v>
      </c>
    </row>
    <row r="2" spans="1:3" ht="17.25" x14ac:dyDescent="0.25">
      <c r="A2" s="25">
        <v>1</v>
      </c>
      <c r="B2" s="25" t="s">
        <v>114</v>
      </c>
      <c r="C2" s="25">
        <v>85</v>
      </c>
    </row>
    <row r="3" spans="1:3" ht="17.25" x14ac:dyDescent="0.25">
      <c r="A3" s="27">
        <v>2</v>
      </c>
      <c r="B3" s="27" t="s">
        <v>158</v>
      </c>
      <c r="C3" s="27">
        <v>72</v>
      </c>
    </row>
    <row r="4" spans="1:3" ht="17.25" x14ac:dyDescent="0.25">
      <c r="A4" s="25">
        <v>3</v>
      </c>
      <c r="B4" s="25" t="s">
        <v>159</v>
      </c>
      <c r="C4" s="25">
        <v>39</v>
      </c>
    </row>
    <row r="5" spans="1:3" ht="17.25" x14ac:dyDescent="0.25">
      <c r="A5" s="27">
        <v>4</v>
      </c>
      <c r="B5" s="27" t="s">
        <v>160</v>
      </c>
      <c r="C5" s="27">
        <v>91</v>
      </c>
    </row>
    <row r="6" spans="1:3" ht="17.25" x14ac:dyDescent="0.25">
      <c r="A6" s="25">
        <v>5</v>
      </c>
      <c r="B6" s="25" t="s">
        <v>161</v>
      </c>
      <c r="C6" s="25">
        <v>28</v>
      </c>
    </row>
    <row r="7" spans="1:3" ht="17.25" x14ac:dyDescent="0.25">
      <c r="A7" s="27">
        <v>6</v>
      </c>
      <c r="B7" s="27" t="s">
        <v>57</v>
      </c>
      <c r="C7" s="28">
        <v>62</v>
      </c>
    </row>
    <row r="8" spans="1:3" ht="17.25" x14ac:dyDescent="0.25">
      <c r="A8" s="25">
        <v>7</v>
      </c>
      <c r="B8" s="25" t="s">
        <v>69</v>
      </c>
      <c r="C8" s="28">
        <v>75</v>
      </c>
    </row>
    <row r="9" spans="1:3" ht="17.25" x14ac:dyDescent="0.25">
      <c r="A9" s="27">
        <v>8</v>
      </c>
      <c r="B9" s="27" t="s">
        <v>70</v>
      </c>
      <c r="C9" s="28">
        <v>61</v>
      </c>
    </row>
    <row r="10" spans="1:3" ht="17.25" x14ac:dyDescent="0.25">
      <c r="A10" s="25">
        <v>9</v>
      </c>
      <c r="B10" s="25" t="s">
        <v>71</v>
      </c>
      <c r="C10" s="28">
        <v>62</v>
      </c>
    </row>
    <row r="11" spans="1:3" ht="17.25" x14ac:dyDescent="0.25">
      <c r="A11" s="27">
        <v>10</v>
      </c>
      <c r="B11" s="27" t="s">
        <v>72</v>
      </c>
      <c r="C11" s="28">
        <v>80</v>
      </c>
    </row>
    <row r="12" spans="1:3" ht="17.25" x14ac:dyDescent="0.25">
      <c r="A12" s="25">
        <v>11</v>
      </c>
      <c r="B12" s="25" t="s">
        <v>73</v>
      </c>
      <c r="C12" s="28">
        <v>69</v>
      </c>
    </row>
    <row r="13" spans="1:3" ht="17.25" x14ac:dyDescent="0.25">
      <c r="A13" s="27">
        <v>12</v>
      </c>
      <c r="B13" s="27" t="s">
        <v>74</v>
      </c>
      <c r="C13" s="28">
        <v>85</v>
      </c>
    </row>
    <row r="14" spans="1:3" ht="17.25" x14ac:dyDescent="0.25">
      <c r="A14" s="25">
        <v>13</v>
      </c>
      <c r="B14" s="25" t="s">
        <v>75</v>
      </c>
      <c r="C14" s="28">
        <v>85</v>
      </c>
    </row>
    <row r="15" spans="1:3" ht="17.25" x14ac:dyDescent="0.25">
      <c r="A15" s="27">
        <v>14</v>
      </c>
      <c r="B15" s="27" t="s">
        <v>76</v>
      </c>
      <c r="C15" s="28">
        <v>94</v>
      </c>
    </row>
    <row r="16" spans="1:3" ht="17.25" x14ac:dyDescent="0.25">
      <c r="A16" s="25">
        <v>15</v>
      </c>
      <c r="B16" s="25" t="s">
        <v>77</v>
      </c>
      <c r="C16" s="28">
        <v>65</v>
      </c>
    </row>
    <row r="17" spans="1:3" ht="17.25" x14ac:dyDescent="0.25">
      <c r="A17" s="27">
        <v>16</v>
      </c>
      <c r="B17" s="27" t="s">
        <v>78</v>
      </c>
      <c r="C17" s="28">
        <v>83</v>
      </c>
    </row>
    <row r="18" spans="1:3" ht="17.25" x14ac:dyDescent="0.25">
      <c r="A18" s="25">
        <v>17</v>
      </c>
      <c r="B18" s="25" t="s">
        <v>79</v>
      </c>
      <c r="C18" s="28">
        <v>57</v>
      </c>
    </row>
    <row r="19" spans="1:3" ht="17.25" x14ac:dyDescent="0.25">
      <c r="A19" s="27">
        <v>18</v>
      </c>
      <c r="B19" s="27" t="s">
        <v>80</v>
      </c>
      <c r="C19" s="28">
        <v>62</v>
      </c>
    </row>
    <row r="20" spans="1:3" ht="17.25" x14ac:dyDescent="0.25">
      <c r="A20" s="25">
        <v>19</v>
      </c>
      <c r="B20" s="25" t="s">
        <v>81</v>
      </c>
      <c r="C20" s="28">
        <v>68</v>
      </c>
    </row>
    <row r="21" spans="1:3" ht="17.25" x14ac:dyDescent="0.25">
      <c r="A21" s="27">
        <v>20</v>
      </c>
      <c r="B21" s="27" t="s">
        <v>82</v>
      </c>
      <c r="C21" s="28">
        <v>96</v>
      </c>
    </row>
  </sheetData>
  <conditionalFormatting sqref="C2:C21">
    <cfRule type="cellIs" dxfId="7" priority="2" operator="greaterThanOrEqual">
      <formula>75</formula>
    </cfRule>
    <cfRule type="cellIs" dxfId="6" priority="1" operator="lessThan">
      <formula>40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4D5AE-F918-4145-A5F8-33FA70950D8B}">
  <dimension ref="A1:B21"/>
  <sheetViews>
    <sheetView tabSelected="1" topLeftCell="A7" workbookViewId="0">
      <selection activeCell="K9" sqref="K9"/>
    </sheetView>
  </sheetViews>
  <sheetFormatPr defaultRowHeight="15" x14ac:dyDescent="0.25"/>
  <cols>
    <col min="1" max="1" width="19.5703125" style="42" bestFit="1" customWidth="1"/>
    <col min="2" max="2" width="11.42578125" style="42" customWidth="1"/>
  </cols>
  <sheetData>
    <row r="1" spans="1:2" s="43" customFormat="1" ht="17.25" x14ac:dyDescent="0.25">
      <c r="A1" s="45" t="s">
        <v>109</v>
      </c>
      <c r="B1" s="45" t="s">
        <v>3</v>
      </c>
    </row>
    <row r="2" spans="1:2" ht="17.25" x14ac:dyDescent="0.25">
      <c r="A2" s="28" t="s">
        <v>162</v>
      </c>
      <c r="B2" s="28">
        <v>28000</v>
      </c>
    </row>
    <row r="3" spans="1:2" ht="17.25" x14ac:dyDescent="0.25">
      <c r="A3" s="28" t="s">
        <v>163</v>
      </c>
      <c r="B3" s="28">
        <v>34000</v>
      </c>
    </row>
    <row r="4" spans="1:2" ht="17.25" x14ac:dyDescent="0.25">
      <c r="A4" s="28" t="s">
        <v>164</v>
      </c>
      <c r="B4" s="28">
        <v>51000</v>
      </c>
    </row>
    <row r="5" spans="1:2" ht="17.25" x14ac:dyDescent="0.25">
      <c r="A5" s="28" t="s">
        <v>165</v>
      </c>
      <c r="B5" s="28">
        <v>47000</v>
      </c>
    </row>
    <row r="6" spans="1:2" ht="17.25" x14ac:dyDescent="0.25">
      <c r="A6" s="28" t="s">
        <v>166</v>
      </c>
      <c r="B6" s="28">
        <v>29000</v>
      </c>
    </row>
    <row r="7" spans="1:2" ht="17.25" x14ac:dyDescent="0.25">
      <c r="A7" s="44" t="s">
        <v>57</v>
      </c>
      <c r="B7" s="28">
        <v>88991</v>
      </c>
    </row>
    <row r="8" spans="1:2" ht="17.25" x14ac:dyDescent="0.25">
      <c r="A8" s="29" t="s">
        <v>69</v>
      </c>
      <c r="B8" s="28">
        <v>46000</v>
      </c>
    </row>
    <row r="9" spans="1:2" ht="17.25" x14ac:dyDescent="0.25">
      <c r="A9" s="44" t="s">
        <v>70</v>
      </c>
      <c r="B9" s="28">
        <v>47944</v>
      </c>
    </row>
    <row r="10" spans="1:2" ht="17.25" x14ac:dyDescent="0.25">
      <c r="A10" s="29" t="s">
        <v>71</v>
      </c>
      <c r="B10" s="28">
        <v>70242</v>
      </c>
    </row>
    <row r="11" spans="1:2" ht="17.25" x14ac:dyDescent="0.25">
      <c r="A11" s="44" t="s">
        <v>72</v>
      </c>
      <c r="B11" s="28">
        <v>47036</v>
      </c>
    </row>
    <row r="12" spans="1:2" ht="17.25" x14ac:dyDescent="0.25">
      <c r="A12" s="29" t="s">
        <v>73</v>
      </c>
      <c r="B12" s="28">
        <v>50000</v>
      </c>
    </row>
    <row r="13" spans="1:2" ht="17.25" x14ac:dyDescent="0.25">
      <c r="A13" s="44" t="s">
        <v>74</v>
      </c>
      <c r="B13" s="28">
        <v>30000</v>
      </c>
    </row>
    <row r="14" spans="1:2" ht="17.25" x14ac:dyDescent="0.25">
      <c r="A14" s="29" t="s">
        <v>75</v>
      </c>
      <c r="B14" s="28">
        <v>62176</v>
      </c>
    </row>
    <row r="15" spans="1:2" ht="17.25" x14ac:dyDescent="0.25">
      <c r="A15" s="44" t="s">
        <v>76</v>
      </c>
      <c r="B15" s="28">
        <v>90408</v>
      </c>
    </row>
    <row r="16" spans="1:2" ht="17.25" x14ac:dyDescent="0.25">
      <c r="A16" s="29" t="s">
        <v>77</v>
      </c>
      <c r="B16" s="28">
        <v>98515</v>
      </c>
    </row>
    <row r="17" spans="1:2" ht="17.25" x14ac:dyDescent="0.25">
      <c r="A17" s="44" t="s">
        <v>78</v>
      </c>
      <c r="B17" s="28">
        <v>39893</v>
      </c>
    </row>
    <row r="18" spans="1:2" ht="17.25" x14ac:dyDescent="0.25">
      <c r="A18" s="29" t="s">
        <v>79</v>
      </c>
      <c r="B18" s="28">
        <v>20000</v>
      </c>
    </row>
    <row r="19" spans="1:2" ht="17.25" x14ac:dyDescent="0.25">
      <c r="A19" s="44" t="s">
        <v>80</v>
      </c>
      <c r="B19" s="28">
        <v>65897</v>
      </c>
    </row>
    <row r="20" spans="1:2" ht="17.25" x14ac:dyDescent="0.25">
      <c r="A20" s="29" t="s">
        <v>81</v>
      </c>
      <c r="B20" s="28">
        <v>49000</v>
      </c>
    </row>
    <row r="21" spans="1:2" ht="17.25" x14ac:dyDescent="0.25">
      <c r="A21" s="44" t="s">
        <v>82</v>
      </c>
      <c r="B21" s="28">
        <v>62119</v>
      </c>
    </row>
  </sheetData>
  <conditionalFormatting sqref="B2:B21">
    <cfRule type="cellIs" dxfId="3" priority="3" operator="greaterThanOrEqual">
      <formula>50000</formula>
    </cfRule>
    <cfRule type="cellIs" dxfId="4" priority="2" operator="between">
      <formula>30000</formula>
      <formula>49999</formula>
    </cfRule>
    <cfRule type="cellIs" dxfId="2" priority="1" operator="lessThan">
      <formula>30000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Basic formatting</vt:lpstr>
      <vt:lpstr>Beautification</vt:lpstr>
      <vt:lpstr>Formatting</vt:lpstr>
      <vt:lpstr>Aggregation functions</vt:lpstr>
      <vt:lpstr>Salary analysis</vt:lpstr>
      <vt:lpstr>COUNTIF</vt:lpstr>
      <vt:lpstr>Sales Count Logic</vt:lpstr>
      <vt:lpstr>Conditional Formatting – Sales</vt:lpstr>
      <vt:lpstr>Student Result Highlight</vt:lpstr>
      <vt:lpstr>Salary Band – Conditional Forma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ASDC4</dc:creator>
  <cp:lastModifiedBy>ASDC4</cp:lastModifiedBy>
  <dcterms:created xsi:type="dcterms:W3CDTF">2026-07-04T08:32:46Z</dcterms:created>
  <dcterms:modified xsi:type="dcterms:W3CDTF">2026-07-05T07:15:24Z</dcterms:modified>
</cp:coreProperties>
</file>
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\Downloads\"/>
    </mc:Choice>
  </mc:AlternateContent>
  <xr:revisionPtr revIDLastSave="0" documentId="13_ncr:1_{E061947A-FF99-4E5F-834A-0DE7EF7BEFCE}" xr6:coauthVersionLast="47" xr6:coauthVersionMax="47" xr10:uidLastSave="{00000000-0000-0000-0000-000000000000}"/>
  <bookViews>
    <workbookView xWindow="-120" yWindow="-120" windowWidth="20730" windowHeight="11040" firstSheet="29" activeTab="32" xr2:uid="{88A245A1-F008-4B27-92BD-95EE260D4976}"/>
  </bookViews>
  <sheets>
    <sheet name="Basic formatting" sheetId="1" r:id="rId1"/>
    <sheet name="Beautification" sheetId="2" r:id="rId2"/>
    <sheet name="Formatting" sheetId="3" r:id="rId3"/>
    <sheet name="Aggregation functions" sheetId="4" r:id="rId4"/>
    <sheet name="Salary analysis" sheetId="5" r:id="rId5"/>
    <sheet name="COUNTIF" sheetId="6" r:id="rId6"/>
    <sheet name="Sales Count Logic" sheetId="7" r:id="rId7"/>
    <sheet name="Conditional Formatting – Sales" sheetId="8" r:id="rId8"/>
    <sheet name="Student Result Highlight" sheetId="9" r:id="rId9"/>
    <sheet name="Salary Band – Conditional Forma" sheetId="10" r:id="rId10"/>
    <sheet name="Faculty evaluation" sheetId="11" r:id="rId11"/>
    <sheet name="Pass Fail using IF" sheetId="12" r:id="rId12"/>
    <sheet name="Salary Bonus Check (IF)" sheetId="13" r:id="rId13"/>
    <sheet name="Grade Calculation (Nested IF)" sheetId="14" r:id="rId14"/>
    <sheet name="Job Eligibility (AND)" sheetId="15" r:id="rId15"/>
    <sheet name="Exam Eligibility (AND)" sheetId="16" r:id="rId16"/>
    <sheet name="Discount Logic (OR)" sheetId="17" r:id="rId17"/>
    <sheet name="Loan Approval (OR)" sheetId="18" r:id="rId18"/>
    <sheet name="Attendance Status (NOT)" sheetId="19" r:id="rId19"/>
    <sheet name="Safe Division (IFERROR)" sheetId="20" r:id="rId20"/>
    <sheet name="Performance Evaluation (Combine" sheetId="21" r:id="rId21"/>
    <sheet name="E-Commerce Order Sheet" sheetId="22" r:id="rId22"/>
    <sheet name="Hospital Patient Register" sheetId="23" r:id="rId23"/>
    <sheet name="Movie Booking System" sheetId="24" r:id="rId24"/>
    <sheet name="School Library" sheetId="25" r:id="rId25"/>
    <sheet name="Restaurant Billing" sheetId="26" r:id="rId26"/>
    <sheet name="Airport Passenger List" sheetId="27" r:id="rId27"/>
    <sheet name="Cricket Tournament" sheetId="28" r:id="rId28"/>
    <sheet name="Gym Membership" sheetId="29" r:id="rId29"/>
    <sheet name="Online Course Enrollment" sheetId="30" r:id="rId30"/>
    <sheet name="HR Recruitment Tracker" sheetId="31" r:id="rId31"/>
    <sheet name="Vlookup" sheetId="32" r:id="rId32"/>
    <sheet name="Hlookup" sheetId="33" r:id="rId33"/>
    <sheet name="Xlookup" sheetId="34" r:id="rId3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34" l="1"/>
  <c r="L12" i="34" a="1"/>
  <c r="L12" i="34" s="1"/>
  <c r="L5" i="34"/>
  <c r="I5" i="34"/>
  <c r="K6" i="33"/>
  <c r="L6" i="33"/>
  <c r="M6" i="33"/>
  <c r="J6" i="33"/>
  <c r="B15" i="32"/>
  <c r="C15" i="32"/>
  <c r="D15" i="32"/>
  <c r="E15" i="32"/>
  <c r="L5" i="32"/>
  <c r="M5" i="32"/>
  <c r="N5" i="32"/>
  <c r="O5" i="32"/>
  <c r="P5" i="32"/>
  <c r="I14" i="32"/>
  <c r="I10" i="32"/>
  <c r="I5" i="32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" i="31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" i="30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" i="30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" i="29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" i="29"/>
  <c r="F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" i="28"/>
  <c r="E3" i="28"/>
  <c r="E4" i="28"/>
  <c r="E5" i="28"/>
  <c r="E6" i="28"/>
  <c r="E7" i="28"/>
  <c r="E8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" i="28"/>
  <c r="D3" i="28"/>
  <c r="D4" i="28"/>
  <c r="D5" i="28"/>
  <c r="D6" i="28"/>
  <c r="D7" i="28"/>
  <c r="D8" i="28"/>
  <c r="D9" i="28"/>
  <c r="E9" i="28" s="1"/>
  <c r="D10" i="28"/>
  <c r="D11" i="28"/>
  <c r="D12" i="28"/>
  <c r="D13" i="28"/>
  <c r="D14" i="28"/>
  <c r="D15" i="28"/>
  <c r="D16" i="28"/>
  <c r="D17" i="28"/>
  <c r="D18" i="28"/>
  <c r="D19" i="28"/>
  <c r="D20" i="28"/>
  <c r="D21" i="28"/>
  <c r="D2" i="28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" i="27"/>
  <c r="D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" i="26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" i="25"/>
  <c r="F3" i="25"/>
  <c r="F4" i="25"/>
  <c r="F5" i="25"/>
  <c r="F6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" i="25"/>
  <c r="G3" i="24"/>
  <c r="G4" i="24"/>
  <c r="G5" i="24"/>
  <c r="G6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" i="24"/>
  <c r="F3" i="24"/>
  <c r="F4" i="24"/>
  <c r="F5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" i="24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" i="23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" i="22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" i="21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" i="20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" i="19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" i="18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" i="17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" i="16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" i="15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" i="14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" i="13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3" i="12"/>
  <c r="D4" i="12"/>
  <c r="D5" i="12"/>
  <c r="D6" i="12"/>
  <c r="D2" i="12"/>
  <c r="D3" i="11"/>
  <c r="D4" i="11"/>
  <c r="D5" i="11"/>
  <c r="D6" i="11"/>
  <c r="D2" i="11"/>
  <c r="E2" i="7"/>
  <c r="D2" i="7"/>
  <c r="G2" i="5"/>
  <c r="I2" i="6"/>
  <c r="H2" i="6"/>
  <c r="H2" i="5"/>
  <c r="H2" i="4"/>
  <c r="G2" i="4"/>
  <c r="F2" i="4"/>
  <c r="E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ASDC4</author>
  </authors>
  <commentList>
    <comment ref="L5" authorId="0" shapeId="0" xr:uid="{C15A9145-6034-4051-AA6B-6800FAF6F0EA}">
      <text>
        <r>
          <rPr>
            <b/>
            <sz val="9"/>
            <color indexed="81"/>
            <rFont val="Tahoma"/>
            <family val="2"/>
          </rPr>
          <t>ASDC4:</t>
        </r>
        <r>
          <rPr>
            <sz val="9"/>
            <color indexed="81"/>
            <rFont val="Tahoma"/>
            <family val="2"/>
          </rPr>
          <t xml:space="preserve">
Dollar applied to first value to keep it fixed..
Dollar not applied to second to keep it relative as it changes..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<sst xmlns="http://schemas.openxmlformats.org/spreadsheetml/2006/main" count="1445" uniqueCount="427">
  <si>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</si>
  <si>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</si>
  <si>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</si>
  <si>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</si>
  <si>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</si>
  <si>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</si>
  <si>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</si>
  <si>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</si>
  <si>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</si>
  <si>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</si>
  <si>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</si>
  <si>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</si>
  <si>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</si>
  <si>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</si>
  <si>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</si>
  <si>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</si>
  <si>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</si>
  <si>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</si>
  <si>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</si>
  <si>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</si>
  <si>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</si>
  <si>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</si>
  <si>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</si>
  <si>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</si>
  <si>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</si>
  <si>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</si>
  <si>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</si>
  <si>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</si>
  <si>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</si>
  <si>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</si>
  <si>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</si>
  <si>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</si>
  <si>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</si>
  <si>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</si>
  <si>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Raj Shah</t>
  </si>
  <si>
    <t>Rohan Sharma</t>
  </si>
  <si>
    <t>Hitesh Kodwani</t>
  </si>
  <si>
    <t>Aakash Shah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</si>
  <si>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</si>
  <si>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</si>
  <si>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</si>
  <si>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</si>
  <si>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</si>
  <si>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</si>
  <si>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</si>
  <si>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</si>
  <si>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</si>
  <si>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</si>
  <si>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</si>
  <si>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</si>
  <si>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</si>
  <si>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</si>
  <si>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</si>
  <si>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</si>
  <si>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Rohan</t>
  </si>
  <si>
    <t>Shivam</t>
  </si>
  <si>
    <t>Aakash</t>
  </si>
  <si>
    <t>Raju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</si>
  <si>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</si>
  <si>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</si>
  <si>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</si>
  <si>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</si>
  <si>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</si>
  <si>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</si>
  <si>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</si>
  <si>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Bhavya</t>
  </si>
  <si>
    <t>Chirag</t>
  </si>
  <si>
    <t>Divya</t>
  </si>
  <si>
    <t>Esha</t>
  </si>
  <si>
    <t>Kishan</t>
  </si>
  <si>
    <t>Juhi</t>
  </si>
  <si>
    <t>Ruhi</t>
  </si>
  <si>
    <t>Bappi</t>
  </si>
  <si>
    <t>Hitesh</t>
  </si>
  <si>
    <t>Kesha</t>
  </si>
  <si>
    <t>Yesha</t>
  </si>
  <si>
    <t>Radha</t>
  </si>
  <si>
    <t>Hari</t>
  </si>
  <si>
    <t>Pari</t>
  </si>
  <si>
    <t>Dhara</t>
  </si>
  <si>
    <t>Krishna</t>
  </si>
  <si>
    <t>Hanuman</t>
  </si>
  <si>
    <t>Chiru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</si>
  <si>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</si>
  <si>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</si>
  <si>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</si>
  <si>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</si>
  <si>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</si>
  <si>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</si>
  <si>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</si>
  <si>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</si>
  <si>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</si>
  <si>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</si>
  <si>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</si>
  <si>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</si>
  <si>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</si>
  <si>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</si>
  <si>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</si>
  <si>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</si>
  <si>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</si>
  <si>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</si>
  <si>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</si>
  <si>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</si>
  <si>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</si>
  <si>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</si>
  <si>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Total Sales</t>
  </si>
  <si>
    <t>Average Sales</t>
  </si>
  <si>
    <t>Highest Sales</t>
  </si>
  <si>
    <t>Lowest Sale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</si>
  <si>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</si>
  <si>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</si>
  <si>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</si>
  <si>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</si>
  <si>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</si>
  <si>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</si>
  <si>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</si>
  <si>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</si>
  <si>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Average salary</t>
  </si>
  <si>
    <t>Count employees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</si>
  <si>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</si>
  <si>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</si>
  <si>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</si>
  <si>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</si>
  <si>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</si>
  <si>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</si>
  <si>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</si>
  <si>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</si>
  <si>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</si>
  <si>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</si>
  <si>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</si>
  <si>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</si>
  <si>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</si>
  <si>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</si>
  <si>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</si>
  <si>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</si>
  <si>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</si>
  <si>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</si>
  <si>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</si>
  <si>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</si>
  <si>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</si>
  <si>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</si>
  <si>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</si>
  <si>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</si>
  <si>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</si>
  <si>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</si>
  <si>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</si>
  <si>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</si>
  <si>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</si>
  <si>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</si>
  <si>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</si>
  <si>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</si>
  <si>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</si>
  <si>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</si>
  <si>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</si>
  <si>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</si>
  <si>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</si>
  <si>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</si>
  <si>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</si>
  <si>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</si>
  <si>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</si>
  <si>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</si>
  <si>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</si>
  <si>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</si>
  <si>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</si>
  <si>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</si>
  <si>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</si>
  <si>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</si>
  <si>
    <t>Faculty name</t>
  </si>
  <si>
    <t>Rajesh</t>
  </si>
  <si>
    <t>Sunita</t>
  </si>
  <si>
    <t>Manoj</t>
  </si>
  <si>
    <t>Anil</t>
  </si>
  <si>
    <t>Classes conducted</t>
  </si>
  <si>
    <t>Attendance %</t>
  </si>
  <si>
    <t>Performance</t>
  </si>
  <si>
    <t>Attendance &gt;=90 and classes &gt;=40 -- excellent</t>
  </si>
  <si>
    <t>Attendance &gt;=80 -- Good</t>
  </si>
  <si>
    <t>Else Needs Improvement</t>
  </si>
  <si>
    <t>Result</t>
  </si>
  <si>
    <t>Bonus Status</t>
  </si>
  <si>
    <t>Grade</t>
  </si>
  <si>
    <t>Age</t>
  </si>
  <si>
    <t>Experience (Years)</t>
  </si>
  <si>
    <t>Eligible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</si>
  <si>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</si>
  <si>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</si>
  <si>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</si>
  <si>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</si>
  <si>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</si>
  <si>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</si>
  <si>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</si>
  <si>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Bhavna</t>
  </si>
  <si>
    <t>Applicant</t>
  </si>
  <si>
    <t>CIBIL Score</t>
  </si>
  <si>
    <t>Loan Status</t>
  </si>
  <si>
    <t>Present</t>
  </si>
  <si>
    <t>Status</t>
  </si>
  <si>
    <t>Number 1</t>
  </si>
  <si>
    <t>Number 2</t>
  </si>
  <si>
    <t>Targets Achieved</t>
  </si>
  <si>
    <t>Raj</t>
  </si>
  <si>
    <t>Customer</t>
  </si>
  <si>
    <t>Qty</t>
  </si>
  <si>
    <t>Unit Price</t>
  </si>
  <si>
    <t>Amit</t>
  </si>
  <si>
    <t>Delivered</t>
  </si>
  <si>
    <t>Neha</t>
  </si>
  <si>
    <t>Mouse</t>
  </si>
  <si>
    <t>Pending</t>
  </si>
  <si>
    <t>Ravi</t>
  </si>
  <si>
    <t>Priya</t>
  </si>
  <si>
    <t>Monitor</t>
  </si>
  <si>
    <t>Cancelled</t>
  </si>
  <si>
    <t>Total Amount</t>
  </si>
  <si>
    <t>Order Category</t>
  </si>
  <si>
    <t>Patient ID</t>
  </si>
  <si>
    <t>Gender</t>
  </si>
  <si>
    <t>Blood Group</t>
  </si>
  <si>
    <t>P101</t>
  </si>
  <si>
    <t>Rahul</t>
  </si>
  <si>
    <t>Male</t>
  </si>
  <si>
    <t>A+</t>
  </si>
  <si>
    <t>P102</t>
  </si>
  <si>
    <t>Female</t>
  </si>
  <si>
    <t>O-</t>
  </si>
  <si>
    <t>P103</t>
  </si>
  <si>
    <t>B+</t>
  </si>
  <si>
    <t>P104</t>
  </si>
  <si>
    <t>Meera</t>
  </si>
  <si>
    <t>AB+</t>
  </si>
  <si>
    <t>Age category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</si>
  <si>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</si>
  <si>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</si>
  <si>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</si>
  <si>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</si>
  <si>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</si>
  <si>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</si>
  <si>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</si>
  <si>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</si>
  <si>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</si>
  <si>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</si>
  <si>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</si>
  <si>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</si>
  <si>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</si>
  <si>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</si>
  <si>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</si>
  <si>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</si>
  <si>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Movie</t>
  </si>
  <si>
    <t>Seats</t>
  </si>
  <si>
    <t>Ticket Price</t>
  </si>
  <si>
    <t>Avengers</t>
  </si>
  <si>
    <t>Superman</t>
  </si>
  <si>
    <t>Avatar</t>
  </si>
  <si>
    <t>Jurassic World</t>
  </si>
  <si>
    <t>Total Bill</t>
  </si>
  <si>
    <t>Booking Status</t>
  </si>
  <si>
    <t>Booking ID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</si>
  <si>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</si>
  <si>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</si>
  <si>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</si>
  <si>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</si>
  <si>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</si>
  <si>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</si>
  <si>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</si>
  <si>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</si>
  <si>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</si>
  <si>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</si>
  <si>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</si>
  <si>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</si>
  <si>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</si>
  <si>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</si>
  <si>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</si>
  <si>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</si>
  <si>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</si>
  <si>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</si>
  <si>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</si>
  <si>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</si>
  <si>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</si>
  <si>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</si>
  <si>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</si>
  <si>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</si>
  <si>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</si>
  <si>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</si>
  <si>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</si>
  <si>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Return days</t>
  </si>
  <si>
    <t>Return comments</t>
  </si>
  <si>
    <t>First word from the Book Name</t>
  </si>
  <si>
    <t>Library Code</t>
  </si>
  <si>
    <t>Table</t>
  </si>
  <si>
    <t>Food Item</t>
  </si>
  <si>
    <t>Price</t>
  </si>
  <si>
    <t>T1</t>
  </si>
  <si>
    <t>Pizza</t>
  </si>
  <si>
    <t>T2</t>
  </si>
  <si>
    <t>Burger</t>
  </si>
  <si>
    <t>T3</t>
  </si>
  <si>
    <t>Pasta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</si>
  <si>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</si>
  <si>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</si>
  <si>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</si>
  <si>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</si>
  <si>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</si>
  <si>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</si>
  <si>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</si>
  <si>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</si>
  <si>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</si>
  <si>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</si>
  <si>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</si>
  <si>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</si>
  <si>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</si>
  <si>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</si>
  <si>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</si>
  <si>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</si>
  <si>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</si>
  <si>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Invoice Number</t>
  </si>
  <si>
    <t>Food Item UPPER</t>
  </si>
  <si>
    <t>Passenger</t>
  </si>
  <si>
    <t>Passport No</t>
  </si>
  <si>
    <t>Destination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</si>
  <si>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</si>
  <si>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</si>
  <si>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</si>
  <si>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</si>
  <si>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</si>
  <si>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</si>
  <si>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</si>
  <si>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</si>
  <si>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</si>
  <si>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Jainil Rupera</t>
  </si>
  <si>
    <t>Tapan Shukla</t>
  </si>
  <si>
    <t>Tapan Shah</t>
  </si>
  <si>
    <t>Rajvi Parmar</t>
  </si>
  <si>
    <t>Ruhi Jain</t>
  </si>
  <si>
    <t>Pankaj Odiya</t>
  </si>
  <si>
    <t>Nirav Vora</t>
  </si>
  <si>
    <t>Dushyant Vats</t>
  </si>
  <si>
    <t>Kiran Gohil</t>
  </si>
  <si>
    <t>Karan Sharma</t>
  </si>
  <si>
    <t>Bhoomi Patel</t>
  </si>
  <si>
    <t>Bhoomi Thakkar</t>
  </si>
  <si>
    <t>Bhavik Parmar</t>
  </si>
  <si>
    <t>Jay Shah</t>
  </si>
  <si>
    <t>Amit Patel</t>
  </si>
  <si>
    <t>India</t>
  </si>
  <si>
    <t>Pakistan</t>
  </si>
  <si>
    <t>Canada</t>
  </si>
  <si>
    <t>Kenya</t>
  </si>
  <si>
    <t>Qatar</t>
  </si>
  <si>
    <t>P987657</t>
  </si>
  <si>
    <t>P987664</t>
  </si>
  <si>
    <t>P987667</t>
  </si>
  <si>
    <t>P987670</t>
  </si>
  <si>
    <t>M987655</t>
  </si>
  <si>
    <t>N987656</t>
  </si>
  <si>
    <t>M987658</t>
  </si>
  <si>
    <t>N987659</t>
  </si>
  <si>
    <t>M987660</t>
  </si>
  <si>
    <t>N987661</t>
  </si>
  <si>
    <t>M987662</t>
  </si>
  <si>
    <t>N987663</t>
  </si>
  <si>
    <t>M987665</t>
  </si>
  <si>
    <t>N987666</t>
  </si>
  <si>
    <t>M987668</t>
  </si>
  <si>
    <t>N987669</t>
  </si>
  <si>
    <t>M987671</t>
  </si>
  <si>
    <t>First Name</t>
  </si>
  <si>
    <t>Last Name</t>
  </si>
  <si>
    <t>Email ID</t>
  </si>
  <si>
    <t>Passport Prefix</t>
  </si>
  <si>
    <t>Boarding Code</t>
  </si>
  <si>
    <t>Player</t>
  </si>
  <si>
    <t>Runs</t>
  </si>
  <si>
    <t>Matches</t>
  </si>
  <si>
    <t>Virat</t>
  </si>
  <si>
    <t>Gill</t>
  </si>
  <si>
    <t>SKY</t>
  </si>
  <si>
    <t>Average Runs per Match</t>
  </si>
  <si>
    <t>Player Code</t>
  </si>
  <si>
    <t>Member</t>
  </si>
  <si>
    <t>Fee</t>
  </si>
  <si>
    <t>Gold</t>
  </si>
  <si>
    <t>Silver</t>
  </si>
  <si>
    <t>Platinum</t>
  </si>
  <si>
    <t>Age Category</t>
  </si>
  <si>
    <t>Membership ID</t>
  </si>
  <si>
    <t>Member names into Proper Case</t>
  </si>
  <si>
    <t>HitesH</t>
  </si>
  <si>
    <t>ParI</t>
  </si>
  <si>
    <t>Student</t>
  </si>
  <si>
    <t>Course</t>
  </si>
  <si>
    <t>Payment Status</t>
  </si>
  <si>
    <t>Excel</t>
  </si>
  <si>
    <t>Paid</t>
  </si>
  <si>
    <t>SQL</t>
  </si>
  <si>
    <t>Power BI</t>
  </si>
  <si>
    <t>Python</t>
  </si>
  <si>
    <t>Enrollment Status</t>
  </si>
  <si>
    <t>Student Code</t>
  </si>
  <si>
    <t>Concatenate Course and Student Name</t>
  </si>
  <si>
    <t>Candidate</t>
  </si>
  <si>
    <t>Experience</t>
  </si>
  <si>
    <t>Test Score</t>
  </si>
  <si>
    <t>Interview</t>
  </si>
  <si>
    <t>Final Result</t>
  </si>
  <si>
    <t>Candidate ID</t>
  </si>
  <si>
    <t>Interview values into UPPERCASE</t>
  </si>
  <si>
    <t>Emp id</t>
  </si>
  <si>
    <t>Dept</t>
  </si>
  <si>
    <t>City</t>
  </si>
  <si>
    <t>Marketing</t>
  </si>
  <si>
    <t>Ahmedabad</t>
  </si>
  <si>
    <t>Mumbai</t>
  </si>
  <si>
    <t>Delhi</t>
  </si>
  <si>
    <t>Pune</t>
  </si>
  <si>
    <t>Bengaluru</t>
  </si>
  <si>
    <t>Jaipur</t>
  </si>
  <si>
    <t>Hyderabad</t>
  </si>
  <si>
    <t>Chennai</t>
  </si>
  <si>
    <t>Kolkata</t>
  </si>
  <si>
    <t>Surat</t>
  </si>
  <si>
    <t>PC</t>
  </si>
  <si>
    <t>Charger</t>
  </si>
  <si>
    <t>Q1</t>
  </si>
  <si>
    <t>Q2</t>
  </si>
  <si>
    <t>Q3</t>
  </si>
  <si>
    <t>Q4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</si>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</sst>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rgb="FF1F2328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5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0" fontId="3" fillId="3" borderId="5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center"/>
    </xf>
    <xf numFmtId="0" fontId="1" fillId="2" borderId="3" xfId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0" fontId="3" fillId="2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 indent="1"/>
    </xf>
    <xf numFmtId="14" fontId="3" fillId="2" borderId="3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14" fontId="3" fillId="3" borderId="3" xfId="0" applyNumberFormat="1" applyFont="1" applyFill="1" applyBorder="1" applyAlignment="1">
      <alignment horizontal="left" vertical="center" wrapText="1" indent="1"/>
    </xf>
    <xf numFmtId="0" fontId="2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 indent="1"/>
    </xf>
    <xf numFmtId="0" fontId="7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/>
    <xf numFmtId="0" fontId="2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9" fillId="4" borderId="0" xfId="0" applyFont="1" applyFill="1"/>
    <xf numFmtId="0" fontId="9" fillId="4" borderId="3" xfId="0" applyFont="1" applyFill="1" applyBorder="1"/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8" xfId="0" applyFont="1" applyFill="1" applyBorder="1"/>
    <xf numFmtId="16" fontId="0" fillId="0" borderId="0" xfId="0" applyNumberFormat="1"/>
    <xf numFmtId="2" fontId="0" fillId="0" borderId="0" xfId="0" applyNumberFormat="1"/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055D-841B-46C7-98DC-A28C9437252D}">
  <dimension ref="A1:E22"/>
  <sheetViews>
    <sheetView workbookViewId="0">
      <selection activeCell="E5" sqref="E5"/>
    </sheetView>
  </sheetViews>
  <sheetFormatPr defaultRowHeight="15" x14ac:dyDescent="0.25"/>
  <cols>
    <col min="1" max="1" width="15.42578125" bestFit="1" customWidth="1"/>
    <col min="2" max="2" width="16" bestFit="1" customWidth="1"/>
    <col min="3" max="3" width="14.7109375" bestFit="1" customWidth="1"/>
    <col min="4" max="4" width="13" bestFit="1" customWidth="1"/>
    <col min="5" max="5" width="13.42578125" bestFit="1" customWidth="1"/>
  </cols>
  <sheetData>
    <row r="1" spans="1:5" ht="34.5" x14ac:dyDescent="0.2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</row>
    <row r="2" spans="1:5" s="6" customFormat="1" ht="17.25" x14ac:dyDescent="0.3">
      <c r="A2" s="10" t="s">
        <v>5</v>
      </c>
      <c r="B2" s="10" t="s">
        <v>6</v>
      </c>
      <c r="C2" s="10" t="s">
        <v>7</v>
      </c>
      <c r="D2" s="11">
        <v>32000</v>
      </c>
      <c r="E2" s="12">
        <v>44573</v>
      </c>
    </row>
    <row r="3" spans="1:5" s="6" customFormat="1" ht="17.25" x14ac:dyDescent="0.3">
      <c r="A3" s="14" t="s">
        <v>8</v>
      </c>
      <c r="B3" s="14" t="s">
        <v>9</v>
      </c>
      <c r="C3" s="14" t="s">
        <v>10</v>
      </c>
      <c r="D3" s="15">
        <v>45000</v>
      </c>
      <c r="E3" s="16">
        <v>44260</v>
      </c>
    </row>
    <row r="4" spans="1:5" s="6" customFormat="1" ht="17.25" x14ac:dyDescent="0.3">
      <c r="A4" s="10" t="s">
        <v>11</v>
      </c>
      <c r="B4" s="10" t="s">
        <v>12</v>
      </c>
      <c r="C4" s="10" t="s">
        <v>13</v>
      </c>
      <c r="D4" s="11">
        <v>38000</v>
      </c>
      <c r="E4" s="12">
        <v>44030</v>
      </c>
    </row>
    <row r="5" spans="1:5" s="6" customFormat="1" ht="17.25" x14ac:dyDescent="0.3">
      <c r="A5" s="14" t="s">
        <v>14</v>
      </c>
      <c r="B5" s="14" t="s">
        <v>15</v>
      </c>
      <c r="C5" s="14" t="s">
        <v>10</v>
      </c>
      <c r="D5" s="15">
        <v>52000</v>
      </c>
      <c r="E5" s="16">
        <v>43779</v>
      </c>
    </row>
    <row r="6" spans="1:5" s="6" customFormat="1" ht="17.25" x14ac:dyDescent="0.3">
      <c r="A6" s="10" t="s">
        <v>16</v>
      </c>
      <c r="B6" s="10" t="s">
        <v>17</v>
      </c>
      <c r="C6" s="10" t="s">
        <v>18</v>
      </c>
      <c r="D6" s="11">
        <v>30000</v>
      </c>
      <c r="E6" s="12">
        <v>45102</v>
      </c>
    </row>
    <row r="7" spans="1:5" s="6" customFormat="1" ht="17.25" x14ac:dyDescent="0.3">
      <c r="A7" s="10" t="s">
        <v>19</v>
      </c>
      <c r="B7" s="14" t="s">
        <v>34</v>
      </c>
      <c r="C7" s="10" t="s">
        <v>7</v>
      </c>
      <c r="D7" s="17">
        <v>21706</v>
      </c>
      <c r="E7" s="18">
        <v>46038</v>
      </c>
    </row>
    <row r="8" spans="1:5" s="6" customFormat="1" ht="17.25" x14ac:dyDescent="0.3">
      <c r="A8" s="10" t="s">
        <v>20</v>
      </c>
      <c r="B8" s="13" t="s">
        <v>34</v>
      </c>
      <c r="C8" s="14" t="s">
        <v>10</v>
      </c>
      <c r="D8" s="17">
        <v>32184</v>
      </c>
      <c r="E8" s="18">
        <v>46156</v>
      </c>
    </row>
    <row r="9" spans="1:5" s="6" customFormat="1" ht="17.25" x14ac:dyDescent="0.3">
      <c r="A9" s="10" t="s">
        <v>21</v>
      </c>
      <c r="B9" s="13" t="s">
        <v>35</v>
      </c>
      <c r="C9" s="10" t="s">
        <v>13</v>
      </c>
      <c r="D9" s="17">
        <v>43902</v>
      </c>
      <c r="E9" s="18">
        <v>46254</v>
      </c>
    </row>
    <row r="10" spans="1:5" s="6" customFormat="1" ht="17.25" x14ac:dyDescent="0.3">
      <c r="A10" s="10" t="s">
        <v>22</v>
      </c>
      <c r="B10" s="13" t="s">
        <v>37</v>
      </c>
      <c r="C10" s="14" t="s">
        <v>10</v>
      </c>
      <c r="D10" s="17">
        <v>42378</v>
      </c>
      <c r="E10" s="18">
        <v>46354</v>
      </c>
    </row>
    <row r="11" spans="1:5" s="6" customFormat="1" ht="17.25" x14ac:dyDescent="0.3">
      <c r="A11" s="10" t="s">
        <v>23</v>
      </c>
      <c r="B11" s="13" t="s">
        <v>36</v>
      </c>
      <c r="C11" s="10" t="s">
        <v>7</v>
      </c>
      <c r="D11" s="17">
        <v>47938</v>
      </c>
      <c r="E11" s="18">
        <v>46342</v>
      </c>
    </row>
    <row r="12" spans="1:5" s="6" customFormat="1" ht="17.25" x14ac:dyDescent="0.3">
      <c r="A12" s="10" t="s">
        <v>24</v>
      </c>
      <c r="B12" s="13" t="s">
        <v>34</v>
      </c>
      <c r="C12" s="14" t="s">
        <v>10</v>
      </c>
      <c r="D12" s="17">
        <v>25587</v>
      </c>
      <c r="E12" s="18">
        <v>46105</v>
      </c>
    </row>
    <row r="13" spans="1:5" s="6" customFormat="1" ht="17.25" x14ac:dyDescent="0.3">
      <c r="A13" s="10" t="s">
        <v>25</v>
      </c>
      <c r="B13" s="13" t="s">
        <v>34</v>
      </c>
      <c r="C13" s="10" t="s">
        <v>13</v>
      </c>
      <c r="D13" s="17">
        <v>41332</v>
      </c>
      <c r="E13" s="18">
        <v>46186</v>
      </c>
    </row>
    <row r="14" spans="1:5" s="6" customFormat="1" ht="17.25" x14ac:dyDescent="0.3">
      <c r="A14" s="10" t="s">
        <v>26</v>
      </c>
      <c r="B14" s="13" t="s">
        <v>36</v>
      </c>
      <c r="C14" s="14" t="s">
        <v>10</v>
      </c>
      <c r="D14" s="17">
        <v>45610</v>
      </c>
      <c r="E14" s="18">
        <v>46352</v>
      </c>
    </row>
    <row r="15" spans="1:5" s="6" customFormat="1" ht="17.25" x14ac:dyDescent="0.3">
      <c r="A15" s="10" t="s">
        <v>27</v>
      </c>
      <c r="B15" s="13" t="s">
        <v>37</v>
      </c>
      <c r="C15" s="10" t="s">
        <v>7</v>
      </c>
      <c r="D15" s="17">
        <v>23404</v>
      </c>
      <c r="E15" s="18">
        <v>46097</v>
      </c>
    </row>
    <row r="16" spans="1:5" s="6" customFormat="1" ht="17.25" x14ac:dyDescent="0.3">
      <c r="A16" s="10" t="s">
        <v>28</v>
      </c>
      <c r="B16" s="13" t="s">
        <v>37</v>
      </c>
      <c r="C16" s="14" t="s">
        <v>10</v>
      </c>
      <c r="D16" s="17">
        <v>41249</v>
      </c>
      <c r="E16" s="18">
        <v>46250</v>
      </c>
    </row>
    <row r="17" spans="1:5" s="6" customFormat="1" ht="17.25" x14ac:dyDescent="0.3">
      <c r="A17" s="10" t="s">
        <v>29</v>
      </c>
      <c r="B17" s="13" t="s">
        <v>36</v>
      </c>
      <c r="C17" s="10" t="s">
        <v>13</v>
      </c>
      <c r="D17" s="17">
        <v>44503</v>
      </c>
      <c r="E17" s="18">
        <v>46257</v>
      </c>
    </row>
    <row r="18" spans="1:5" s="6" customFormat="1" ht="17.25" x14ac:dyDescent="0.3">
      <c r="A18" s="10" t="s">
        <v>30</v>
      </c>
      <c r="B18" s="13" t="s">
        <v>36</v>
      </c>
      <c r="C18" s="14" t="s">
        <v>10</v>
      </c>
      <c r="D18" s="17">
        <v>34452</v>
      </c>
      <c r="E18" s="18">
        <v>46261</v>
      </c>
    </row>
    <row r="19" spans="1:5" s="6" customFormat="1" ht="17.25" x14ac:dyDescent="0.3">
      <c r="A19" s="10" t="s">
        <v>31</v>
      </c>
      <c r="B19" s="13" t="s">
        <v>34</v>
      </c>
      <c r="C19" s="10" t="s">
        <v>7</v>
      </c>
      <c r="D19" s="17">
        <v>31523</v>
      </c>
      <c r="E19" s="18">
        <v>46268</v>
      </c>
    </row>
    <row r="20" spans="1:5" s="6" customFormat="1" ht="17.25" x14ac:dyDescent="0.3">
      <c r="A20" s="10" t="s">
        <v>32</v>
      </c>
      <c r="B20" s="13" t="s">
        <v>36</v>
      </c>
      <c r="C20" s="14" t="s">
        <v>10</v>
      </c>
      <c r="D20" s="17">
        <v>30622</v>
      </c>
      <c r="E20" s="18">
        <v>46160</v>
      </c>
    </row>
    <row r="21" spans="1:5" s="6" customFormat="1" ht="17.25" x14ac:dyDescent="0.3">
      <c r="A21" s="10" t="s">
        <v>33</v>
      </c>
      <c r="B21" s="13" t="s">
        <v>35</v>
      </c>
      <c r="C21" s="10" t="s">
        <v>13</v>
      </c>
      <c r="D21" s="17">
        <v>23703</v>
      </c>
      <c r="E21" s="18">
        <v>46160</v>
      </c>
    </row>
    <row r="22" spans="1:5" ht="18" thickBot="1" x14ac:dyDescent="0.3">
      <c r="C22" s="9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AEC58-3842-4A28-9896-6885A9C38595}">
  <dimension ref="A1:D22"/>
  <sheetViews>
    <sheetView workbookViewId="0">
      <selection activeCell="H7" sqref="H7"/>
    </sheetView>
  </sheetViews>
  <sheetFormatPr defaultRowHeight="15" x14ac:dyDescent="0.25"/>
  <cols>
    <col min="1" max="1" width="30.7109375" bestFit="1" customWidth="1"/>
    <col min="2" max="2" width="9.140625" bestFit="1" customWidth="1"/>
    <col min="3" max="3" width="16.85546875" bestFit="1" customWidth="1"/>
    <col min="4" max="4" width="15" bestFit="1" customWidth="1"/>
  </cols>
  <sheetData>
    <row r="1" spans="1:4" ht="19.5" thickBot="1" x14ac:dyDescent="0.35">
      <c r="A1" s="57" t="s">
        <v>58</v>
      </c>
      <c r="B1" s="57"/>
      <c r="C1" s="57"/>
      <c r="D1" s="57"/>
    </row>
    <row r="2" spans="1:4" s="4" customFormat="1" ht="18" thickBot="1" x14ac:dyDescent="0.35">
      <c r="A2" s="1" t="s">
        <v>38</v>
      </c>
      <c r="B2" s="1" t="s">
        <v>39</v>
      </c>
      <c r="C2" s="1" t="s">
        <v>40</v>
      </c>
      <c r="D2" s="1" t="s">
        <v>41</v>
      </c>
    </row>
    <row r="3" spans="1:4" s="4" customFormat="1" ht="18" thickBot="1" x14ac:dyDescent="0.35">
      <c r="A3" s="5" t="s">
        <v>42</v>
      </c>
      <c r="B3" s="5" t="s">
        <v>43</v>
      </c>
      <c r="C3" s="19">
        <v>45000</v>
      </c>
      <c r="D3" s="5" t="s">
        <v>44</v>
      </c>
    </row>
    <row r="4" spans="1:4" s="4" customFormat="1" ht="18" thickBot="1" x14ac:dyDescent="0.35">
      <c r="A4" s="7" t="s">
        <v>45</v>
      </c>
      <c r="B4" s="7" t="s">
        <v>46</v>
      </c>
      <c r="C4" s="20">
        <v>1200</v>
      </c>
      <c r="D4" s="7" t="s">
        <v>47</v>
      </c>
    </row>
    <row r="5" spans="1:4" s="4" customFormat="1" ht="18" thickBot="1" x14ac:dyDescent="0.35">
      <c r="A5" s="5" t="s">
        <v>48</v>
      </c>
      <c r="B5" s="5" t="s">
        <v>49</v>
      </c>
      <c r="C5" s="19">
        <v>18000</v>
      </c>
      <c r="D5" s="5" t="s">
        <v>50</v>
      </c>
    </row>
    <row r="6" spans="1:4" s="4" customFormat="1" ht="18" thickBot="1" x14ac:dyDescent="0.35">
      <c r="A6" s="7" t="s">
        <v>51</v>
      </c>
      <c r="B6" s="7" t="s">
        <v>52</v>
      </c>
      <c r="C6" s="20">
        <v>62000</v>
      </c>
      <c r="D6" s="7" t="s">
        <v>53</v>
      </c>
    </row>
    <row r="7" spans="1:4" s="4" customFormat="1" ht="18" thickBot="1" x14ac:dyDescent="0.35">
      <c r="A7" s="5" t="s">
        <v>42</v>
      </c>
      <c r="B7" s="6" t="s">
        <v>46</v>
      </c>
      <c r="C7" s="8">
        <v>36866</v>
      </c>
      <c r="D7" s="6" t="s">
        <v>55</v>
      </c>
    </row>
    <row r="8" spans="1:4" s="4" customFormat="1" ht="18" thickBot="1" x14ac:dyDescent="0.35">
      <c r="A8" s="7" t="s">
        <v>45</v>
      </c>
      <c r="B8" s="6" t="s">
        <v>49</v>
      </c>
      <c r="C8" s="8">
        <v>26662</v>
      </c>
      <c r="D8" s="6" t="s">
        <v>54</v>
      </c>
    </row>
    <row r="9" spans="1:4" s="4" customFormat="1" ht="18" thickBot="1" x14ac:dyDescent="0.35">
      <c r="A9" s="5" t="s">
        <v>48</v>
      </c>
      <c r="B9" s="5" t="s">
        <v>43</v>
      </c>
      <c r="C9" s="8">
        <v>32704</v>
      </c>
      <c r="D9" s="6" t="s">
        <v>56</v>
      </c>
    </row>
    <row r="10" spans="1:4" s="4" customFormat="1" ht="18" thickBot="1" x14ac:dyDescent="0.35">
      <c r="A10" s="7" t="s">
        <v>51</v>
      </c>
      <c r="B10" s="7" t="s">
        <v>46</v>
      </c>
      <c r="C10" s="8">
        <v>6732</v>
      </c>
      <c r="D10" s="6" t="s">
        <v>56</v>
      </c>
    </row>
    <row r="11" spans="1:4" s="4" customFormat="1" ht="18" thickBot="1" x14ac:dyDescent="0.35">
      <c r="A11" s="5" t="s">
        <v>42</v>
      </c>
      <c r="B11" s="5" t="s">
        <v>49</v>
      </c>
      <c r="C11" s="8">
        <v>45157</v>
      </c>
      <c r="D11" s="6" t="s">
        <v>56</v>
      </c>
    </row>
    <row r="12" spans="1:4" s="4" customFormat="1" ht="18" thickBot="1" x14ac:dyDescent="0.35">
      <c r="A12" s="7" t="s">
        <v>45</v>
      </c>
      <c r="B12" s="7" t="s">
        <v>52</v>
      </c>
      <c r="C12" s="8">
        <v>40674</v>
      </c>
      <c r="D12" s="6" t="s">
        <v>57</v>
      </c>
    </row>
    <row r="13" spans="1:4" s="4" customFormat="1" ht="18" thickBot="1" x14ac:dyDescent="0.35">
      <c r="A13" s="5" t="s">
        <v>48</v>
      </c>
      <c r="B13" s="6" t="s">
        <v>46</v>
      </c>
      <c r="C13" s="8">
        <v>40219</v>
      </c>
      <c r="D13" s="6" t="s">
        <v>56</v>
      </c>
    </row>
    <row r="14" spans="1:4" s="4" customFormat="1" ht="18" thickBot="1" x14ac:dyDescent="0.35">
      <c r="A14" s="7" t="s">
        <v>51</v>
      </c>
      <c r="B14" s="6" t="s">
        <v>49</v>
      </c>
      <c r="C14" s="8">
        <v>9771</v>
      </c>
      <c r="D14" s="6" t="s">
        <v>56</v>
      </c>
    </row>
    <row r="15" spans="1:4" s="4" customFormat="1" ht="18" thickBot="1" x14ac:dyDescent="0.35">
      <c r="A15" s="5" t="s">
        <v>42</v>
      </c>
      <c r="B15" s="5" t="s">
        <v>43</v>
      </c>
      <c r="C15" s="8">
        <v>39492</v>
      </c>
      <c r="D15" s="6" t="s">
        <v>54</v>
      </c>
    </row>
    <row r="16" spans="1:4" s="4" customFormat="1" ht="18" thickBot="1" x14ac:dyDescent="0.35">
      <c r="A16" s="7" t="s">
        <v>45</v>
      </c>
      <c r="B16" s="7" t="s">
        <v>46</v>
      </c>
      <c r="C16" s="8">
        <v>43915</v>
      </c>
      <c r="D16" s="6" t="s">
        <v>55</v>
      </c>
    </row>
    <row r="17" spans="1:4" s="4" customFormat="1" ht="18" thickBot="1" x14ac:dyDescent="0.35">
      <c r="A17" s="5" t="s">
        <v>48</v>
      </c>
      <c r="B17" s="5" t="s">
        <v>49</v>
      </c>
      <c r="C17" s="8">
        <v>41066</v>
      </c>
      <c r="D17" s="6" t="s">
        <v>56</v>
      </c>
    </row>
    <row r="18" spans="1:4" s="4" customFormat="1" ht="18" thickBot="1" x14ac:dyDescent="0.35">
      <c r="A18" s="7" t="s">
        <v>51</v>
      </c>
      <c r="B18" s="7" t="s">
        <v>52</v>
      </c>
      <c r="C18" s="8">
        <v>13066</v>
      </c>
      <c r="D18" s="6" t="s">
        <v>56</v>
      </c>
    </row>
    <row r="19" spans="1:4" s="4" customFormat="1" ht="18" thickBot="1" x14ac:dyDescent="0.35">
      <c r="A19" s="5" t="s">
        <v>42</v>
      </c>
      <c r="B19" s="6" t="s">
        <v>46</v>
      </c>
      <c r="C19" s="8">
        <v>29644</v>
      </c>
      <c r="D19" s="6" t="s">
        <v>55</v>
      </c>
    </row>
    <row r="20" spans="1:4" s="4" customFormat="1" ht="18" thickBot="1" x14ac:dyDescent="0.35">
      <c r="A20" s="7" t="s">
        <v>45</v>
      </c>
      <c r="B20" s="6" t="s">
        <v>49</v>
      </c>
      <c r="C20" s="8">
        <v>36869</v>
      </c>
      <c r="D20" s="6" t="s">
        <v>54</v>
      </c>
    </row>
    <row r="21" spans="1:4" s="4" customFormat="1" ht="18" thickBot="1" x14ac:dyDescent="0.35">
      <c r="A21" s="5" t="s">
        <v>48</v>
      </c>
      <c r="B21" s="6" t="s">
        <v>49</v>
      </c>
      <c r="C21" s="8">
        <v>46186</v>
      </c>
      <c r="D21" s="6" t="s">
        <v>54</v>
      </c>
    </row>
    <row r="22" spans="1:4" s="4" customFormat="1" ht="18" thickBot="1" x14ac:dyDescent="0.35">
      <c r="A22" s="5" t="s">
        <v>48</v>
      </c>
      <c r="B22" s="6" t="s">
        <v>43</v>
      </c>
      <c r="C22" s="8">
        <v>49296</v>
      </c>
      <c r="D22" s="6" t="s">
        <v>55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33DD-B08D-44CC-9983-9ED7ED85B406}">
  <dimension ref="A1:F21"/>
  <sheetViews>
    <sheetView workbookViewId="0">
      <selection sqref="A1:F1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16" bestFit="1" customWidth="1"/>
  </cols>
  <sheetData>
    <row r="1" spans="1:6" ht="17.25" x14ac:dyDescent="0.25">
      <c r="A1" s="24" t="s">
        <v>59</v>
      </c>
      <c r="B1" s="24" t="s">
        <v>60</v>
      </c>
      <c r="C1" s="24" t="s">
        <v>61</v>
      </c>
      <c r="D1" s="24" t="s">
        <v>62</v>
      </c>
      <c r="E1" s="24" t="s">
        <v>63</v>
      </c>
      <c r="F1" s="24" t="s">
        <v>64</v>
      </c>
    </row>
    <row r="2" spans="1:6" ht="17.25" x14ac:dyDescent="0.25">
      <c r="A2" s="25">
        <v>1</v>
      </c>
      <c r="B2" s="25" t="s">
        <v>56</v>
      </c>
      <c r="C2" s="25">
        <v>78</v>
      </c>
      <c r="D2" s="25">
        <v>82</v>
      </c>
      <c r="E2" s="25">
        <v>74</v>
      </c>
      <c r="F2" s="26">
        <f>(C2+D2+E2)/300</f>
        <v>0.78</v>
      </c>
    </row>
    <row r="3" spans="1:6" ht="17.25" x14ac:dyDescent="0.25">
      <c r="A3" s="27">
        <v>2</v>
      </c>
      <c r="B3" s="27" t="s">
        <v>65</v>
      </c>
      <c r="C3" s="27">
        <v>65</v>
      </c>
      <c r="D3" s="27">
        <v>70</v>
      </c>
      <c r="E3" s="27">
        <v>68</v>
      </c>
      <c r="F3" s="26">
        <f t="shared" ref="F3:F21" si="0">(C3+D3+E3)/300</f>
        <v>0.67666666666666664</v>
      </c>
    </row>
    <row r="4" spans="1:6" ht="17.25" x14ac:dyDescent="0.25">
      <c r="A4" s="25">
        <v>3</v>
      </c>
      <c r="B4" s="25" t="s">
        <v>66</v>
      </c>
      <c r="C4" s="25">
        <v>90</v>
      </c>
      <c r="D4" s="25">
        <v>88</v>
      </c>
      <c r="E4" s="25">
        <v>92</v>
      </c>
      <c r="F4" s="26">
        <f t="shared" si="0"/>
        <v>0.9</v>
      </c>
    </row>
    <row r="5" spans="1:6" ht="17.25" x14ac:dyDescent="0.25">
      <c r="A5" s="27">
        <v>4</v>
      </c>
      <c r="B5" s="27" t="s">
        <v>67</v>
      </c>
      <c r="C5" s="27">
        <v>35</v>
      </c>
      <c r="D5" s="27">
        <v>40</v>
      </c>
      <c r="E5" s="27">
        <v>38</v>
      </c>
      <c r="F5" s="26">
        <f t="shared" si="0"/>
        <v>0.37666666666666665</v>
      </c>
    </row>
    <row r="6" spans="1:6" ht="17.25" x14ac:dyDescent="0.25">
      <c r="A6" s="25">
        <v>5</v>
      </c>
      <c r="B6" s="25" t="s">
        <v>68</v>
      </c>
      <c r="C6" s="25">
        <v>55</v>
      </c>
      <c r="D6" s="25">
        <v>60</v>
      </c>
      <c r="E6" s="25">
        <v>58</v>
      </c>
      <c r="F6" s="26">
        <f t="shared" si="0"/>
        <v>0.57666666666666666</v>
      </c>
    </row>
    <row r="7" spans="1:6" ht="17.25" x14ac:dyDescent="0.25">
      <c r="A7" s="27">
        <v>6</v>
      </c>
      <c r="B7" s="27" t="s">
        <v>57</v>
      </c>
      <c r="C7" s="28">
        <v>95</v>
      </c>
      <c r="D7" s="28">
        <v>76</v>
      </c>
      <c r="E7" s="28">
        <v>65</v>
      </c>
      <c r="F7" s="26">
        <f t="shared" si="0"/>
        <v>0.78666666666666663</v>
      </c>
    </row>
    <row r="8" spans="1:6" ht="17.25" x14ac:dyDescent="0.25">
      <c r="A8" s="25">
        <v>7</v>
      </c>
      <c r="B8" s="25" t="s">
        <v>69</v>
      </c>
      <c r="C8" s="28">
        <v>100</v>
      </c>
      <c r="D8" s="28">
        <v>88</v>
      </c>
      <c r="E8" s="28">
        <v>86</v>
      </c>
      <c r="F8" s="26">
        <f t="shared" si="0"/>
        <v>0.91333333333333333</v>
      </c>
    </row>
    <row r="9" spans="1:6" ht="17.25" x14ac:dyDescent="0.25">
      <c r="A9" s="27">
        <v>8</v>
      </c>
      <c r="B9" s="27" t="s">
        <v>70</v>
      </c>
      <c r="C9" s="28">
        <v>50</v>
      </c>
      <c r="D9" s="28">
        <v>87</v>
      </c>
      <c r="E9" s="28">
        <v>86</v>
      </c>
      <c r="F9" s="26">
        <f t="shared" si="0"/>
        <v>0.74333333333333329</v>
      </c>
    </row>
    <row r="10" spans="1:6" ht="17.25" x14ac:dyDescent="0.25">
      <c r="A10" s="25">
        <v>9</v>
      </c>
      <c r="B10" s="25" t="s">
        <v>71</v>
      </c>
      <c r="C10" s="28">
        <v>88</v>
      </c>
      <c r="D10" s="28">
        <v>75</v>
      </c>
      <c r="E10" s="28">
        <v>84</v>
      </c>
      <c r="F10" s="26">
        <f t="shared" si="0"/>
        <v>0.82333333333333336</v>
      </c>
    </row>
    <row r="11" spans="1:6" ht="17.25" x14ac:dyDescent="0.25">
      <c r="A11" s="27">
        <v>10</v>
      </c>
      <c r="B11" s="27" t="s">
        <v>72</v>
      </c>
      <c r="C11" s="28">
        <v>99</v>
      </c>
      <c r="D11" s="28">
        <v>86</v>
      </c>
      <c r="E11" s="28">
        <v>68</v>
      </c>
      <c r="F11" s="26">
        <f t="shared" si="0"/>
        <v>0.84333333333333338</v>
      </c>
    </row>
    <row r="12" spans="1:6" ht="17.25" x14ac:dyDescent="0.25">
      <c r="A12" s="25">
        <v>11</v>
      </c>
      <c r="B12" s="25" t="s">
        <v>73</v>
      </c>
      <c r="C12" s="28">
        <v>71</v>
      </c>
      <c r="D12" s="28">
        <v>89</v>
      </c>
      <c r="E12" s="28">
        <v>94</v>
      </c>
      <c r="F12" s="26">
        <f t="shared" si="0"/>
        <v>0.84666666666666668</v>
      </c>
    </row>
    <row r="13" spans="1:6" ht="17.25" x14ac:dyDescent="0.25">
      <c r="A13" s="27">
        <v>12</v>
      </c>
      <c r="B13" s="27" t="s">
        <v>74</v>
      </c>
      <c r="C13" s="28">
        <v>80</v>
      </c>
      <c r="D13" s="28">
        <v>90</v>
      </c>
      <c r="E13" s="28">
        <v>78</v>
      </c>
      <c r="F13" s="26">
        <f t="shared" si="0"/>
        <v>0.82666666666666666</v>
      </c>
    </row>
    <row r="14" spans="1:6" ht="17.25" x14ac:dyDescent="0.25">
      <c r="A14" s="25">
        <v>13</v>
      </c>
      <c r="B14" s="25" t="s">
        <v>75</v>
      </c>
      <c r="C14" s="28">
        <v>72</v>
      </c>
      <c r="D14" s="28">
        <v>79</v>
      </c>
      <c r="E14" s="28">
        <v>71</v>
      </c>
      <c r="F14" s="26">
        <f t="shared" si="0"/>
        <v>0.74</v>
      </c>
    </row>
    <row r="15" spans="1:6" ht="17.25" x14ac:dyDescent="0.25">
      <c r="A15" s="27">
        <v>14</v>
      </c>
      <c r="B15" s="27" t="s">
        <v>76</v>
      </c>
      <c r="C15" s="28">
        <v>72</v>
      </c>
      <c r="D15" s="28">
        <v>82</v>
      </c>
      <c r="E15" s="28">
        <v>82</v>
      </c>
      <c r="F15" s="26">
        <f t="shared" si="0"/>
        <v>0.78666666666666663</v>
      </c>
    </row>
    <row r="16" spans="1:6" ht="17.25" x14ac:dyDescent="0.25">
      <c r="A16" s="25">
        <v>15</v>
      </c>
      <c r="B16" s="25" t="s">
        <v>77</v>
      </c>
      <c r="C16" s="28">
        <v>73</v>
      </c>
      <c r="D16" s="28">
        <v>79</v>
      </c>
      <c r="E16" s="28">
        <v>63</v>
      </c>
      <c r="F16" s="26">
        <f t="shared" si="0"/>
        <v>0.71666666666666667</v>
      </c>
    </row>
    <row r="17" spans="1:6" ht="17.25" x14ac:dyDescent="0.25">
      <c r="A17" s="27">
        <v>16</v>
      </c>
      <c r="B17" s="27" t="s">
        <v>78</v>
      </c>
      <c r="C17" s="28">
        <v>91</v>
      </c>
      <c r="D17" s="28">
        <v>78</v>
      </c>
      <c r="E17" s="28">
        <v>77</v>
      </c>
      <c r="F17" s="26">
        <f t="shared" si="0"/>
        <v>0.82</v>
      </c>
    </row>
    <row r="18" spans="1:6" ht="17.25" x14ac:dyDescent="0.25">
      <c r="A18" s="25">
        <v>17</v>
      </c>
      <c r="B18" s="25" t="s">
        <v>79</v>
      </c>
      <c r="C18" s="28">
        <v>57</v>
      </c>
      <c r="D18" s="28">
        <v>89</v>
      </c>
      <c r="E18" s="28">
        <v>68</v>
      </c>
      <c r="F18" s="26">
        <f t="shared" si="0"/>
        <v>0.71333333333333337</v>
      </c>
    </row>
    <row r="19" spans="1:6" ht="17.25" x14ac:dyDescent="0.25">
      <c r="A19" s="27">
        <v>18</v>
      </c>
      <c r="B19" s="27" t="s">
        <v>80</v>
      </c>
      <c r="C19" s="28">
        <v>54</v>
      </c>
      <c r="D19" s="28">
        <v>90</v>
      </c>
      <c r="E19" s="28">
        <v>90</v>
      </c>
      <c r="F19" s="26">
        <f t="shared" si="0"/>
        <v>0.78</v>
      </c>
    </row>
    <row r="20" spans="1:6" ht="17.25" x14ac:dyDescent="0.25">
      <c r="A20" s="25">
        <v>19</v>
      </c>
      <c r="B20" s="25" t="s">
        <v>81</v>
      </c>
      <c r="C20" s="28">
        <v>100</v>
      </c>
      <c r="D20" s="28">
        <v>83</v>
      </c>
      <c r="E20" s="28">
        <v>81</v>
      </c>
      <c r="F20" s="26">
        <f t="shared" si="0"/>
        <v>0.88</v>
      </c>
    </row>
    <row r="21" spans="1:6" ht="17.25" x14ac:dyDescent="0.25">
      <c r="A21" s="27">
        <v>20</v>
      </c>
      <c r="B21" s="27" t="s">
        <v>82</v>
      </c>
      <c r="C21" s="28">
        <v>97</v>
      </c>
      <c r="D21" s="28">
        <v>75</v>
      </c>
      <c r="E21" s="28">
        <v>83</v>
      </c>
      <c r="F21" s="26">
        <f t="shared" si="0"/>
        <v>0.85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BC02-C379-438A-817E-EEF46A202B70}">
  <dimension ref="A1:H21"/>
  <sheetViews>
    <sheetView workbookViewId="0">
      <selection sqref="A1:C1"/>
    </sheetView>
  </sheetViews>
  <sheetFormatPr defaultRowHeight="15" x14ac:dyDescent="0.25"/>
  <cols>
    <col min="1" max="1" width="13.42578125" bestFit="1" customWidth="1"/>
    <col min="2" max="2" width="14.7109375" bestFit="1" customWidth="1"/>
    <col min="3" max="3" width="16.85546875" bestFit="1" customWidth="1"/>
    <col min="5" max="5" width="13.5703125" bestFit="1" customWidth="1"/>
    <col min="6" max="6" width="17.140625" bestFit="1" customWidth="1"/>
    <col min="7" max="7" width="16.5703125" bestFit="1" customWidth="1"/>
    <col min="8" max="8" width="14.7109375" bestFit="1" customWidth="1"/>
  </cols>
  <sheetData>
    <row r="1" spans="1:8" ht="17.25" x14ac:dyDescent="0.25">
      <c r="A1" s="54" t="s">
        <v>83</v>
      </c>
      <c r="B1" s="54" t="s">
        <v>84</v>
      </c>
      <c r="C1" s="54" t="s">
        <v>40</v>
      </c>
      <c r="E1" s="34" t="s">
        <v>105</v>
      </c>
      <c r="F1" s="34" t="s">
        <v>106</v>
      </c>
      <c r="G1" s="34" t="s">
        <v>107</v>
      </c>
      <c r="H1" s="34" t="s">
        <v>108</v>
      </c>
    </row>
    <row r="2" spans="1:8" ht="17.25" x14ac:dyDescent="0.25">
      <c r="A2" s="30" t="s">
        <v>85</v>
      </c>
      <c r="B2" s="31">
        <v>45292</v>
      </c>
      <c r="C2" s="30">
        <v>12000</v>
      </c>
      <c r="E2" s="25">
        <f>SUM(C2:C21)</f>
        <v>917000</v>
      </c>
      <c r="F2" s="27">
        <f>AVERAGE(C2:C21)</f>
        <v>45850</v>
      </c>
      <c r="G2" s="27">
        <f>MAX(C2:C21)</f>
        <v>90000</v>
      </c>
      <c r="H2" s="27">
        <f>MIN(C2:C21)</f>
        <v>8000</v>
      </c>
    </row>
    <row r="3" spans="1:8" ht="17.25" x14ac:dyDescent="0.25">
      <c r="A3" s="32" t="s">
        <v>86</v>
      </c>
      <c r="B3" s="33">
        <v>45294</v>
      </c>
      <c r="C3" s="32">
        <v>25000</v>
      </c>
    </row>
    <row r="4" spans="1:8" ht="17.25" x14ac:dyDescent="0.25">
      <c r="A4" s="30" t="s">
        <v>87</v>
      </c>
      <c r="B4" s="31">
        <v>45296</v>
      </c>
      <c r="C4" s="30">
        <v>8000</v>
      </c>
    </row>
    <row r="5" spans="1:8" ht="17.25" x14ac:dyDescent="0.25">
      <c r="A5" s="32" t="s">
        <v>88</v>
      </c>
      <c r="B5" s="33">
        <v>45299</v>
      </c>
      <c r="C5" s="32">
        <v>32000</v>
      </c>
    </row>
    <row r="6" spans="1:8" ht="17.25" x14ac:dyDescent="0.25">
      <c r="A6" s="30" t="s">
        <v>89</v>
      </c>
      <c r="B6" s="31">
        <v>45301</v>
      </c>
      <c r="C6" s="30">
        <v>15000</v>
      </c>
    </row>
    <row r="7" spans="1:8" ht="17.25" x14ac:dyDescent="0.25">
      <c r="A7" s="32" t="s">
        <v>90</v>
      </c>
      <c r="B7" s="33">
        <v>45303</v>
      </c>
      <c r="C7" s="32">
        <v>20000</v>
      </c>
    </row>
    <row r="8" spans="1:8" ht="17.25" x14ac:dyDescent="0.25">
      <c r="A8" s="30" t="s">
        <v>91</v>
      </c>
      <c r="B8" s="31">
        <v>45305</v>
      </c>
      <c r="C8" s="30">
        <v>25000</v>
      </c>
    </row>
    <row r="9" spans="1:8" ht="17.25" x14ac:dyDescent="0.25">
      <c r="A9" s="32" t="s">
        <v>92</v>
      </c>
      <c r="B9" s="33">
        <v>45307</v>
      </c>
      <c r="C9" s="30">
        <v>30000</v>
      </c>
    </row>
    <row r="10" spans="1:8" ht="17.25" x14ac:dyDescent="0.25">
      <c r="A10" s="30" t="s">
        <v>93</v>
      </c>
      <c r="B10" s="31">
        <v>45309</v>
      </c>
      <c r="C10" s="32">
        <v>35000</v>
      </c>
    </row>
    <row r="11" spans="1:8" ht="17.25" x14ac:dyDescent="0.25">
      <c r="A11" s="32" t="s">
        <v>94</v>
      </c>
      <c r="B11" s="33">
        <v>45311</v>
      </c>
      <c r="C11" s="30">
        <v>40000</v>
      </c>
    </row>
    <row r="12" spans="1:8" ht="17.25" x14ac:dyDescent="0.25">
      <c r="A12" s="30" t="s">
        <v>95</v>
      </c>
      <c r="B12" s="31">
        <v>45313</v>
      </c>
      <c r="C12" s="30">
        <v>45000</v>
      </c>
    </row>
    <row r="13" spans="1:8" ht="17.25" x14ac:dyDescent="0.25">
      <c r="A13" s="32" t="s">
        <v>96</v>
      </c>
      <c r="B13" s="33">
        <v>45315</v>
      </c>
      <c r="C13" s="32">
        <v>50000</v>
      </c>
    </row>
    <row r="14" spans="1:8" ht="17.25" x14ac:dyDescent="0.25">
      <c r="A14" s="30" t="s">
        <v>97</v>
      </c>
      <c r="B14" s="31">
        <v>45317</v>
      </c>
      <c r="C14" s="30">
        <v>55000</v>
      </c>
    </row>
    <row r="15" spans="1:8" ht="17.25" x14ac:dyDescent="0.25">
      <c r="A15" s="32" t="s">
        <v>98</v>
      </c>
      <c r="B15" s="33">
        <v>45319</v>
      </c>
      <c r="C15" s="30">
        <v>60000</v>
      </c>
    </row>
    <row r="16" spans="1:8" ht="17.25" x14ac:dyDescent="0.25">
      <c r="A16" s="30" t="s">
        <v>99</v>
      </c>
      <c r="B16" s="31">
        <v>45321</v>
      </c>
      <c r="C16" s="32">
        <v>65000</v>
      </c>
    </row>
    <row r="17" spans="1:3" ht="17.25" x14ac:dyDescent="0.25">
      <c r="A17" s="32" t="s">
        <v>100</v>
      </c>
      <c r="B17" s="33">
        <v>45323</v>
      </c>
      <c r="C17" s="30">
        <v>70000</v>
      </c>
    </row>
    <row r="18" spans="1:3" ht="17.25" x14ac:dyDescent="0.25">
      <c r="A18" s="30" t="s">
        <v>101</v>
      </c>
      <c r="B18" s="31">
        <v>45325</v>
      </c>
      <c r="C18" s="30">
        <v>75000</v>
      </c>
    </row>
    <row r="19" spans="1:3" ht="17.25" x14ac:dyDescent="0.25">
      <c r="A19" s="32" t="s">
        <v>102</v>
      </c>
      <c r="B19" s="33">
        <v>45327</v>
      </c>
      <c r="C19" s="32">
        <v>80000</v>
      </c>
    </row>
    <row r="20" spans="1:3" ht="17.25" x14ac:dyDescent="0.25">
      <c r="A20" s="30" t="s">
        <v>103</v>
      </c>
      <c r="B20" s="31">
        <v>45329</v>
      </c>
      <c r="C20" s="30">
        <v>85000</v>
      </c>
    </row>
    <row r="21" spans="1:3" ht="17.25" x14ac:dyDescent="0.25">
      <c r="A21" s="32" t="s">
        <v>104</v>
      </c>
      <c r="B21" s="33">
        <v>45331</v>
      </c>
      <c r="C21" s="30">
        <v>90000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F965-E524-4664-B3A8-C479C2B733CD}">
  <dimension ref="A1:H21"/>
  <sheetViews>
    <sheetView workbookViewId="0">
      <selection sqref="A1:C1"/>
    </sheetView>
  </sheetViews>
  <sheetFormatPr defaultRowHeight="15" x14ac:dyDescent="0.25"/>
  <cols>
    <col min="1" max="1" width="19.7109375" bestFit="1" customWidth="1"/>
    <col min="2" max="2" width="14.7109375" bestFit="1" customWidth="1"/>
    <col min="3" max="3" width="9" bestFit="1" customWidth="1"/>
    <col min="4" max="4" width="9" customWidth="1"/>
    <col min="5" max="5" width="8.85546875" bestFit="1" customWidth="1"/>
    <col min="6" max="6" width="33.42578125" bestFit="1" customWidth="1"/>
    <col min="7" max="7" width="18.85546875" bestFit="1" customWidth="1"/>
    <col min="8" max="8" width="22" bestFit="1" customWidth="1"/>
  </cols>
  <sheetData>
    <row r="1" spans="1:8" ht="17.25" x14ac:dyDescent="0.25">
      <c r="A1" s="56" t="s">
        <v>109</v>
      </c>
      <c r="B1" s="56" t="s">
        <v>2</v>
      </c>
      <c r="C1" s="56" t="s">
        <v>3</v>
      </c>
      <c r="F1" s="35" t="s">
        <v>116</v>
      </c>
      <c r="G1" s="35" t="s">
        <v>117</v>
      </c>
      <c r="H1" s="35" t="s">
        <v>118</v>
      </c>
    </row>
    <row r="2" spans="1:8" ht="17.25" x14ac:dyDescent="0.25">
      <c r="A2" s="25" t="s">
        <v>110</v>
      </c>
      <c r="B2" s="25" t="s">
        <v>7</v>
      </c>
      <c r="C2" s="25">
        <v>28000</v>
      </c>
      <c r="E2" s="25" t="s">
        <v>7</v>
      </c>
      <c r="F2" s="25">
        <v>396000</v>
      </c>
      <c r="G2" s="27">
        <f>AVERAGE(C2:C21)</f>
        <v>59250</v>
      </c>
      <c r="H2" s="27">
        <f>COUNT(C2:C21)</f>
        <v>20</v>
      </c>
    </row>
    <row r="3" spans="1:8" ht="17.25" x14ac:dyDescent="0.25">
      <c r="A3" s="27" t="s">
        <v>111</v>
      </c>
      <c r="B3" s="27" t="s">
        <v>10</v>
      </c>
      <c r="C3" s="27">
        <v>45000</v>
      </c>
      <c r="E3" s="27" t="s">
        <v>10</v>
      </c>
      <c r="F3" s="27">
        <v>335000</v>
      </c>
    </row>
    <row r="4" spans="1:8" ht="17.25" x14ac:dyDescent="0.25">
      <c r="A4" s="25" t="s">
        <v>112</v>
      </c>
      <c r="B4" s="25" t="s">
        <v>10</v>
      </c>
      <c r="C4" s="25">
        <v>50000</v>
      </c>
      <c r="E4" s="27" t="s">
        <v>13</v>
      </c>
      <c r="F4" s="25">
        <v>454000</v>
      </c>
    </row>
    <row r="5" spans="1:8" ht="17.25" x14ac:dyDescent="0.25">
      <c r="A5" s="27" t="s">
        <v>113</v>
      </c>
      <c r="B5" s="27" t="s">
        <v>13</v>
      </c>
      <c r="C5" s="27">
        <v>42000</v>
      </c>
    </row>
    <row r="6" spans="1:8" ht="17.25" x14ac:dyDescent="0.25">
      <c r="A6" s="25" t="s">
        <v>114</v>
      </c>
      <c r="B6" s="25" t="s">
        <v>7</v>
      </c>
      <c r="C6" s="25">
        <v>30000</v>
      </c>
    </row>
    <row r="7" spans="1:8" ht="17.25" x14ac:dyDescent="0.25">
      <c r="A7" s="27" t="s">
        <v>115</v>
      </c>
      <c r="B7" s="27" t="s">
        <v>13</v>
      </c>
      <c r="C7" s="27">
        <v>38000</v>
      </c>
    </row>
    <row r="8" spans="1:8" ht="17.25" x14ac:dyDescent="0.25">
      <c r="A8" s="25" t="s">
        <v>68</v>
      </c>
      <c r="B8" s="25" t="s">
        <v>7</v>
      </c>
      <c r="C8" s="25">
        <v>42000</v>
      </c>
    </row>
    <row r="9" spans="1:8" ht="17.25" x14ac:dyDescent="0.25">
      <c r="A9" s="27" t="s">
        <v>57</v>
      </c>
      <c r="B9" s="27" t="s">
        <v>10</v>
      </c>
      <c r="C9" s="27">
        <v>46000</v>
      </c>
    </row>
    <row r="10" spans="1:8" ht="17.25" x14ac:dyDescent="0.25">
      <c r="A10" s="25" t="s">
        <v>69</v>
      </c>
      <c r="B10" s="25" t="s">
        <v>10</v>
      </c>
      <c r="C10" s="27">
        <v>50000</v>
      </c>
    </row>
    <row r="11" spans="1:8" ht="17.25" x14ac:dyDescent="0.25">
      <c r="A11" s="27" t="s">
        <v>70</v>
      </c>
      <c r="B11" s="27" t="s">
        <v>13</v>
      </c>
      <c r="C11" s="25">
        <v>54000</v>
      </c>
    </row>
    <row r="12" spans="1:8" ht="17.25" x14ac:dyDescent="0.25">
      <c r="A12" s="25" t="s">
        <v>71</v>
      </c>
      <c r="B12" s="25" t="s">
        <v>7</v>
      </c>
      <c r="C12" s="27">
        <v>58000</v>
      </c>
    </row>
    <row r="13" spans="1:8" ht="17.25" x14ac:dyDescent="0.25">
      <c r="A13" s="27" t="s">
        <v>72</v>
      </c>
      <c r="B13" s="27" t="s">
        <v>13</v>
      </c>
      <c r="C13" s="27">
        <v>62000</v>
      </c>
    </row>
    <row r="14" spans="1:8" ht="17.25" x14ac:dyDescent="0.25">
      <c r="A14" s="25" t="s">
        <v>73</v>
      </c>
      <c r="B14" s="25" t="s">
        <v>7</v>
      </c>
      <c r="C14" s="25">
        <v>66000</v>
      </c>
    </row>
    <row r="15" spans="1:8" ht="17.25" x14ac:dyDescent="0.25">
      <c r="A15" s="27" t="s">
        <v>74</v>
      </c>
      <c r="B15" s="27" t="s">
        <v>10</v>
      </c>
      <c r="C15" s="27">
        <v>70000</v>
      </c>
    </row>
    <row r="16" spans="1:8" ht="17.25" x14ac:dyDescent="0.25">
      <c r="A16" s="25" t="s">
        <v>75</v>
      </c>
      <c r="B16" s="25" t="s">
        <v>10</v>
      </c>
      <c r="C16" s="27">
        <v>74000</v>
      </c>
    </row>
    <row r="17" spans="1:3" ht="17.25" x14ac:dyDescent="0.25">
      <c r="A17" s="27" t="s">
        <v>76</v>
      </c>
      <c r="B17" s="27" t="s">
        <v>13</v>
      </c>
      <c r="C17" s="25">
        <v>78000</v>
      </c>
    </row>
    <row r="18" spans="1:3" ht="17.25" x14ac:dyDescent="0.25">
      <c r="A18" s="25" t="s">
        <v>77</v>
      </c>
      <c r="B18" s="25" t="s">
        <v>7</v>
      </c>
      <c r="C18" s="27">
        <v>82000</v>
      </c>
    </row>
    <row r="19" spans="1:3" ht="17.25" x14ac:dyDescent="0.25">
      <c r="A19" s="27" t="s">
        <v>78</v>
      </c>
      <c r="B19" s="27" t="s">
        <v>13</v>
      </c>
      <c r="C19" s="27">
        <v>86000</v>
      </c>
    </row>
    <row r="20" spans="1:3" ht="17.25" x14ac:dyDescent="0.25">
      <c r="A20" s="25" t="s">
        <v>79</v>
      </c>
      <c r="B20" s="25" t="s">
        <v>7</v>
      </c>
      <c r="C20" s="25">
        <v>90000</v>
      </c>
    </row>
    <row r="21" spans="1:3" ht="17.25" x14ac:dyDescent="0.25">
      <c r="A21" s="27" t="s">
        <v>80</v>
      </c>
      <c r="B21" s="27" t="s">
        <v>13</v>
      </c>
      <c r="C21" s="27">
        <v>94000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2A19-C543-4912-BAB5-97C7A785C958}">
  <dimension ref="A1:I21"/>
  <sheetViews>
    <sheetView workbookViewId="0">
      <selection sqref="A1:F1"/>
    </sheetView>
  </sheetViews>
  <sheetFormatPr defaultRowHeight="15" x14ac:dyDescent="0.25"/>
  <cols>
    <col min="1" max="1" width="17.5703125" bestFit="1" customWidth="1"/>
    <col min="2" max="6" width="7.7109375" bestFit="1" customWidth="1"/>
    <col min="8" max="8" width="16" bestFit="1" customWidth="1"/>
    <col min="9" max="9" width="15.28515625" bestFit="1" customWidth="1"/>
  </cols>
  <sheetData>
    <row r="1" spans="1:9" ht="17.25" x14ac:dyDescent="0.25">
      <c r="A1" s="54" t="s">
        <v>60</v>
      </c>
      <c r="B1" s="54" t="s">
        <v>119</v>
      </c>
      <c r="C1" s="54" t="s">
        <v>120</v>
      </c>
      <c r="D1" s="54" t="s">
        <v>121</v>
      </c>
      <c r="E1" s="54" t="s">
        <v>122</v>
      </c>
      <c r="F1" s="54" t="s">
        <v>123</v>
      </c>
      <c r="H1" s="37" t="s">
        <v>126</v>
      </c>
      <c r="I1" s="37" t="s">
        <v>127</v>
      </c>
    </row>
    <row r="2" spans="1:9" ht="17.25" x14ac:dyDescent="0.25">
      <c r="A2" s="25" t="s">
        <v>56</v>
      </c>
      <c r="B2" s="25" t="s">
        <v>124</v>
      </c>
      <c r="C2" s="25" t="s">
        <v>125</v>
      </c>
      <c r="D2" s="25" t="s">
        <v>124</v>
      </c>
      <c r="E2" s="25" t="s">
        <v>124</v>
      </c>
      <c r="F2" s="25" t="s">
        <v>124</v>
      </c>
      <c r="H2" s="25">
        <f>COUNTIF(B2:F21, "P")</f>
        <v>58</v>
      </c>
      <c r="I2" s="25">
        <f>COUNTIF(B2:F21, "A")</f>
        <v>42</v>
      </c>
    </row>
    <row r="3" spans="1:9" ht="17.25" x14ac:dyDescent="0.25">
      <c r="A3" s="27" t="s">
        <v>65</v>
      </c>
      <c r="B3" s="27" t="s">
        <v>124</v>
      </c>
      <c r="C3" s="27" t="s">
        <v>124</v>
      </c>
      <c r="D3" s="27" t="s">
        <v>124</v>
      </c>
      <c r="E3" s="27" t="s">
        <v>125</v>
      </c>
      <c r="F3" s="27" t="s">
        <v>124</v>
      </c>
    </row>
    <row r="4" spans="1:9" ht="17.25" x14ac:dyDescent="0.25">
      <c r="A4" s="25" t="s">
        <v>66</v>
      </c>
      <c r="B4" s="25" t="s">
        <v>125</v>
      </c>
      <c r="C4" s="25" t="s">
        <v>124</v>
      </c>
      <c r="D4" s="25" t="s">
        <v>124</v>
      </c>
      <c r="E4" s="25" t="s">
        <v>124</v>
      </c>
      <c r="F4" s="25" t="s">
        <v>124</v>
      </c>
    </row>
    <row r="5" spans="1:9" ht="17.25" x14ac:dyDescent="0.25">
      <c r="A5" s="27" t="s">
        <v>67</v>
      </c>
      <c r="B5" s="27" t="s">
        <v>124</v>
      </c>
      <c r="C5" s="27" t="s">
        <v>125</v>
      </c>
      <c r="D5" s="27" t="s">
        <v>125</v>
      </c>
      <c r="E5" s="27" t="s">
        <v>124</v>
      </c>
      <c r="F5" s="27" t="s">
        <v>125</v>
      </c>
    </row>
    <row r="6" spans="1:9" ht="17.25" x14ac:dyDescent="0.3">
      <c r="A6" s="25" t="s">
        <v>68</v>
      </c>
      <c r="B6" s="36" t="s">
        <v>124</v>
      </c>
      <c r="C6" s="36" t="s">
        <v>124</v>
      </c>
      <c r="D6" s="36" t="s">
        <v>125</v>
      </c>
      <c r="E6" s="36" t="s">
        <v>125</v>
      </c>
      <c r="F6" s="36" t="s">
        <v>124</v>
      </c>
    </row>
    <row r="7" spans="1:9" ht="17.25" x14ac:dyDescent="0.3">
      <c r="A7" s="27" t="s">
        <v>57</v>
      </c>
      <c r="B7" s="36" t="s">
        <v>124</v>
      </c>
      <c r="C7" s="36" t="s">
        <v>124</v>
      </c>
      <c r="D7" s="36" t="s">
        <v>125</v>
      </c>
      <c r="E7" s="36" t="s">
        <v>124</v>
      </c>
      <c r="F7" s="36" t="s">
        <v>124</v>
      </c>
    </row>
    <row r="8" spans="1:9" ht="17.25" x14ac:dyDescent="0.3">
      <c r="A8" s="25" t="s">
        <v>69</v>
      </c>
      <c r="B8" s="36" t="s">
        <v>124</v>
      </c>
      <c r="C8" s="36" t="s">
        <v>124</v>
      </c>
      <c r="D8" s="36" t="s">
        <v>125</v>
      </c>
      <c r="E8" s="36" t="s">
        <v>125</v>
      </c>
      <c r="F8" s="36" t="s">
        <v>125</v>
      </c>
    </row>
    <row r="9" spans="1:9" ht="17.25" x14ac:dyDescent="0.3">
      <c r="A9" s="27" t="s">
        <v>70</v>
      </c>
      <c r="B9" s="36" t="s">
        <v>125</v>
      </c>
      <c r="C9" s="36" t="s">
        <v>125</v>
      </c>
      <c r="D9" s="36" t="s">
        <v>124</v>
      </c>
      <c r="E9" s="36" t="s">
        <v>125</v>
      </c>
      <c r="F9" s="36" t="s">
        <v>124</v>
      </c>
    </row>
    <row r="10" spans="1:9" ht="17.25" x14ac:dyDescent="0.3">
      <c r="A10" s="25" t="s">
        <v>71</v>
      </c>
      <c r="B10" s="36" t="s">
        <v>124</v>
      </c>
      <c r="C10" s="36" t="s">
        <v>125</v>
      </c>
      <c r="D10" s="36" t="s">
        <v>124</v>
      </c>
      <c r="E10" s="36" t="s">
        <v>125</v>
      </c>
      <c r="F10" s="36" t="s">
        <v>125</v>
      </c>
    </row>
    <row r="11" spans="1:9" ht="17.25" x14ac:dyDescent="0.3">
      <c r="A11" s="27" t="s">
        <v>72</v>
      </c>
      <c r="B11" s="36" t="s">
        <v>124</v>
      </c>
      <c r="C11" s="36" t="s">
        <v>124</v>
      </c>
      <c r="D11" s="36" t="s">
        <v>124</v>
      </c>
      <c r="E11" s="36" t="s">
        <v>125</v>
      </c>
      <c r="F11" s="36" t="s">
        <v>124</v>
      </c>
    </row>
    <row r="12" spans="1:9" ht="17.25" x14ac:dyDescent="0.3">
      <c r="A12" s="25" t="s">
        <v>73</v>
      </c>
      <c r="B12" s="36" t="s">
        <v>125</v>
      </c>
      <c r="C12" s="36" t="s">
        <v>124</v>
      </c>
      <c r="D12" s="36" t="s">
        <v>124</v>
      </c>
      <c r="E12" s="36" t="s">
        <v>124</v>
      </c>
      <c r="F12" s="36" t="s">
        <v>125</v>
      </c>
    </row>
    <row r="13" spans="1:9" ht="17.25" x14ac:dyDescent="0.3">
      <c r="A13" s="27" t="s">
        <v>74</v>
      </c>
      <c r="B13" s="36" t="s">
        <v>124</v>
      </c>
      <c r="C13" s="36" t="s">
        <v>124</v>
      </c>
      <c r="D13" s="36" t="s">
        <v>124</v>
      </c>
      <c r="E13" s="36" t="s">
        <v>124</v>
      </c>
      <c r="F13" s="36" t="s">
        <v>124</v>
      </c>
    </row>
    <row r="14" spans="1:9" ht="17.25" x14ac:dyDescent="0.3">
      <c r="A14" s="25" t="s">
        <v>75</v>
      </c>
      <c r="B14" s="36" t="s">
        <v>124</v>
      </c>
      <c r="C14" s="36" t="s">
        <v>125</v>
      </c>
      <c r="D14" s="36" t="s">
        <v>124</v>
      </c>
      <c r="E14" s="36" t="s">
        <v>124</v>
      </c>
      <c r="F14" s="36" t="s">
        <v>124</v>
      </c>
    </row>
    <row r="15" spans="1:9" ht="17.25" x14ac:dyDescent="0.3">
      <c r="A15" s="27" t="s">
        <v>76</v>
      </c>
      <c r="B15" s="36" t="s">
        <v>125</v>
      </c>
      <c r="C15" s="36" t="s">
        <v>124</v>
      </c>
      <c r="D15" s="36" t="s">
        <v>124</v>
      </c>
      <c r="E15" s="36" t="s">
        <v>124</v>
      </c>
      <c r="F15" s="36" t="s">
        <v>125</v>
      </c>
    </row>
    <row r="16" spans="1:9" ht="17.25" x14ac:dyDescent="0.3">
      <c r="A16" s="25" t="s">
        <v>77</v>
      </c>
      <c r="B16" s="36" t="s">
        <v>125</v>
      </c>
      <c r="C16" s="36" t="s">
        <v>125</v>
      </c>
      <c r="D16" s="36" t="s">
        <v>124</v>
      </c>
      <c r="E16" s="36" t="s">
        <v>125</v>
      </c>
      <c r="F16" s="36" t="s">
        <v>125</v>
      </c>
    </row>
    <row r="17" spans="1:6" ht="17.25" x14ac:dyDescent="0.3">
      <c r="A17" s="27" t="s">
        <v>78</v>
      </c>
      <c r="B17" s="36" t="s">
        <v>124</v>
      </c>
      <c r="C17" s="36" t="s">
        <v>124</v>
      </c>
      <c r="D17" s="36" t="s">
        <v>124</v>
      </c>
      <c r="E17" s="36" t="s">
        <v>124</v>
      </c>
      <c r="F17" s="36" t="s">
        <v>124</v>
      </c>
    </row>
    <row r="18" spans="1:6" ht="17.25" x14ac:dyDescent="0.3">
      <c r="A18" s="25" t="s">
        <v>79</v>
      </c>
      <c r="B18" s="36" t="s">
        <v>125</v>
      </c>
      <c r="C18" s="36" t="s">
        <v>124</v>
      </c>
      <c r="D18" s="36" t="s">
        <v>124</v>
      </c>
      <c r="E18" s="36" t="s">
        <v>125</v>
      </c>
      <c r="F18" s="36" t="s">
        <v>125</v>
      </c>
    </row>
    <row r="19" spans="1:6" ht="17.25" x14ac:dyDescent="0.3">
      <c r="A19" s="27" t="s">
        <v>80</v>
      </c>
      <c r="B19" s="36" t="s">
        <v>125</v>
      </c>
      <c r="C19" s="36" t="s">
        <v>124</v>
      </c>
      <c r="D19" s="36" t="s">
        <v>125</v>
      </c>
      <c r="E19" s="36" t="s">
        <v>125</v>
      </c>
      <c r="F19" s="36" t="s">
        <v>125</v>
      </c>
    </row>
    <row r="20" spans="1:6" ht="17.25" x14ac:dyDescent="0.3">
      <c r="A20" s="25" t="s">
        <v>81</v>
      </c>
      <c r="B20" s="36" t="s">
        <v>124</v>
      </c>
      <c r="C20" s="36" t="s">
        <v>125</v>
      </c>
      <c r="D20" s="36" t="s">
        <v>125</v>
      </c>
      <c r="E20" s="36" t="s">
        <v>125</v>
      </c>
      <c r="F20" s="36" t="s">
        <v>125</v>
      </c>
    </row>
    <row r="21" spans="1:6" ht="17.25" x14ac:dyDescent="0.3">
      <c r="A21" s="27" t="s">
        <v>82</v>
      </c>
      <c r="B21" s="36" t="s">
        <v>124</v>
      </c>
      <c r="C21" s="36" t="s">
        <v>125</v>
      </c>
      <c r="D21" s="36" t="s">
        <v>125</v>
      </c>
      <c r="E21" s="36" t="s">
        <v>125</v>
      </c>
      <c r="F21" s="36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D31D-B701-4E74-BED4-FDC6325403B8}">
  <dimension ref="A1:E21"/>
  <sheetViews>
    <sheetView workbookViewId="0">
      <selection activeCell="D16" sqref="D16"/>
    </sheetView>
  </sheetViews>
  <sheetFormatPr defaultRowHeight="15" x14ac:dyDescent="0.25"/>
  <cols>
    <col min="1" max="1" width="11" bestFit="1" customWidth="1"/>
    <col min="2" max="2" width="16.85546875" bestFit="1" customWidth="1"/>
    <col min="4" max="4" width="30" bestFit="1" customWidth="1"/>
    <col min="5" max="5" width="28.5703125" bestFit="1" customWidth="1"/>
  </cols>
  <sheetData>
    <row r="1" spans="1:5" ht="18" thickBot="1" x14ac:dyDescent="0.3">
      <c r="A1" s="55" t="s">
        <v>128</v>
      </c>
      <c r="B1" s="55" t="s">
        <v>40</v>
      </c>
      <c r="D1" s="38" t="s">
        <v>149</v>
      </c>
      <c r="E1" s="38" t="s">
        <v>150</v>
      </c>
    </row>
    <row r="2" spans="1:5" ht="18" thickBot="1" x14ac:dyDescent="0.3">
      <c r="A2" s="2" t="s">
        <v>129</v>
      </c>
      <c r="B2" s="2">
        <v>4500</v>
      </c>
      <c r="D2" s="39">
        <f>COUNTIF(B2:B21, "&gt;10,000")</f>
        <v>17</v>
      </c>
      <c r="E2" s="39">
        <f>COUNTIF(B2:B21, "&lt;5000")</f>
        <v>2</v>
      </c>
    </row>
    <row r="3" spans="1:5" ht="18" thickBot="1" x14ac:dyDescent="0.3">
      <c r="A3" s="3" t="s">
        <v>130</v>
      </c>
      <c r="B3" s="3">
        <v>12000</v>
      </c>
    </row>
    <row r="4" spans="1:5" ht="18" thickBot="1" x14ac:dyDescent="0.3">
      <c r="A4" s="2" t="s">
        <v>131</v>
      </c>
      <c r="B4" s="2">
        <v>8000</v>
      </c>
    </row>
    <row r="5" spans="1:5" ht="18" thickBot="1" x14ac:dyDescent="0.3">
      <c r="A5" s="3" t="s">
        <v>132</v>
      </c>
      <c r="B5" s="3">
        <v>25000</v>
      </c>
    </row>
    <row r="6" spans="1:5" ht="18" thickBot="1" x14ac:dyDescent="0.3">
      <c r="A6" s="2" t="s">
        <v>133</v>
      </c>
      <c r="B6" s="2">
        <v>3000</v>
      </c>
    </row>
    <row r="7" spans="1:5" ht="18" thickBot="1" x14ac:dyDescent="0.3">
      <c r="A7" s="3" t="s">
        <v>134</v>
      </c>
      <c r="B7" s="3">
        <v>15000</v>
      </c>
    </row>
    <row r="8" spans="1:5" ht="18" thickBot="1" x14ac:dyDescent="0.3">
      <c r="A8" s="3" t="s">
        <v>135</v>
      </c>
      <c r="B8" s="22">
        <v>20000</v>
      </c>
    </row>
    <row r="9" spans="1:5" ht="18" thickBot="1" x14ac:dyDescent="0.3">
      <c r="A9" s="3" t="s">
        <v>136</v>
      </c>
      <c r="B9" s="21">
        <v>25000</v>
      </c>
    </row>
    <row r="10" spans="1:5" ht="18" thickBot="1" x14ac:dyDescent="0.3">
      <c r="A10" s="3" t="s">
        <v>137</v>
      </c>
      <c r="B10" s="3">
        <v>30000</v>
      </c>
    </row>
    <row r="11" spans="1:5" ht="18" thickBot="1" x14ac:dyDescent="0.3">
      <c r="A11" s="3" t="s">
        <v>138</v>
      </c>
      <c r="B11" s="22">
        <v>35000</v>
      </c>
    </row>
    <row r="12" spans="1:5" ht="18" thickBot="1" x14ac:dyDescent="0.3">
      <c r="A12" s="3" t="s">
        <v>139</v>
      </c>
      <c r="B12" s="21">
        <v>40000</v>
      </c>
    </row>
    <row r="13" spans="1:5" ht="18" thickBot="1" x14ac:dyDescent="0.3">
      <c r="A13" s="3" t="s">
        <v>140</v>
      </c>
      <c r="B13" s="3">
        <v>45000</v>
      </c>
    </row>
    <row r="14" spans="1:5" ht="18" thickBot="1" x14ac:dyDescent="0.3">
      <c r="A14" s="3" t="s">
        <v>141</v>
      </c>
      <c r="B14" s="22">
        <v>50000</v>
      </c>
    </row>
    <row r="15" spans="1:5" ht="18" thickBot="1" x14ac:dyDescent="0.3">
      <c r="A15" s="3" t="s">
        <v>142</v>
      </c>
      <c r="B15" s="21">
        <v>55000</v>
      </c>
    </row>
    <row r="16" spans="1:5" ht="18" thickBot="1" x14ac:dyDescent="0.3">
      <c r="A16" s="3" t="s">
        <v>143</v>
      </c>
      <c r="B16" s="3">
        <v>60000</v>
      </c>
    </row>
    <row r="17" spans="1:2" ht="18" thickBot="1" x14ac:dyDescent="0.3">
      <c r="A17" s="3" t="s">
        <v>144</v>
      </c>
      <c r="B17" s="22">
        <v>65000</v>
      </c>
    </row>
    <row r="18" spans="1:2" ht="18" thickBot="1" x14ac:dyDescent="0.3">
      <c r="A18" s="3" t="s">
        <v>145</v>
      </c>
      <c r="B18" s="21">
        <v>70000</v>
      </c>
    </row>
    <row r="19" spans="1:2" ht="18" thickBot="1" x14ac:dyDescent="0.3">
      <c r="A19" s="3" t="s">
        <v>146</v>
      </c>
      <c r="B19" s="3">
        <v>75000</v>
      </c>
    </row>
    <row r="20" spans="1:2" ht="18" thickBot="1" x14ac:dyDescent="0.3">
      <c r="A20" s="3" t="s">
        <v>147</v>
      </c>
      <c r="B20" s="22">
        <v>80000</v>
      </c>
    </row>
    <row r="21" spans="1:2" ht="18" thickBot="1" x14ac:dyDescent="0.3">
      <c r="A21" s="3" t="s">
        <v>148</v>
      </c>
      <c r="B21" s="21">
        <v>85000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9C25-3FC6-459B-8120-B9B970F3C71A}">
  <dimension ref="A1:B21"/>
  <sheetViews>
    <sheetView workbookViewId="0">
      <selection sqref="A1:XFD1"/>
    </sheetView>
  </sheetViews>
  <sheetFormatPr defaultRowHeight="15" x14ac:dyDescent="0.25"/>
  <cols>
    <col min="1" max="1" width="15.140625" bestFit="1" customWidth="1"/>
    <col min="2" max="2" width="16.85546875" bestFit="1" customWidth="1"/>
  </cols>
  <sheetData>
    <row r="1" spans="1:2" s="41" customFormat="1" ht="18" thickBot="1" x14ac:dyDescent="0.3">
      <c r="A1" s="55" t="s">
        <v>151</v>
      </c>
      <c r="B1" s="55" t="s">
        <v>40</v>
      </c>
    </row>
    <row r="2" spans="1:2" ht="18" thickBot="1" x14ac:dyDescent="0.3">
      <c r="A2" s="5" t="s">
        <v>152</v>
      </c>
      <c r="B2" s="5">
        <v>22000</v>
      </c>
    </row>
    <row r="3" spans="1:2" ht="18" thickBot="1" x14ac:dyDescent="0.3">
      <c r="A3" s="7" t="s">
        <v>153</v>
      </c>
      <c r="B3" s="7">
        <v>3500</v>
      </c>
    </row>
    <row r="4" spans="1:2" ht="18" thickBot="1" x14ac:dyDescent="0.3">
      <c r="A4" s="5" t="s">
        <v>154</v>
      </c>
      <c r="B4" s="5">
        <v>58000</v>
      </c>
    </row>
    <row r="5" spans="1:2" ht="18" thickBot="1" x14ac:dyDescent="0.3">
      <c r="A5" s="7" t="s">
        <v>155</v>
      </c>
      <c r="B5" s="7">
        <v>1800</v>
      </c>
    </row>
    <row r="6" spans="1:2" ht="18" thickBot="1" x14ac:dyDescent="0.3">
      <c r="A6" s="5" t="s">
        <v>156</v>
      </c>
      <c r="B6" s="5">
        <v>12000</v>
      </c>
    </row>
    <row r="7" spans="1:2" ht="18" thickBot="1" x14ac:dyDescent="0.35">
      <c r="A7" s="5" t="s">
        <v>152</v>
      </c>
      <c r="B7" s="23">
        <v>81942</v>
      </c>
    </row>
    <row r="8" spans="1:2" ht="18" thickBot="1" x14ac:dyDescent="0.35">
      <c r="A8" s="7" t="s">
        <v>153</v>
      </c>
      <c r="B8" s="23">
        <v>56389</v>
      </c>
    </row>
    <row r="9" spans="1:2" ht="18" thickBot="1" x14ac:dyDescent="0.35">
      <c r="A9" s="5" t="s">
        <v>154</v>
      </c>
      <c r="B9" s="23">
        <v>58358</v>
      </c>
    </row>
    <row r="10" spans="1:2" ht="18" thickBot="1" x14ac:dyDescent="0.35">
      <c r="A10" s="7" t="s">
        <v>155</v>
      </c>
      <c r="B10" s="23">
        <v>63339</v>
      </c>
    </row>
    <row r="11" spans="1:2" ht="18" thickBot="1" x14ac:dyDescent="0.35">
      <c r="A11" s="5" t="s">
        <v>156</v>
      </c>
      <c r="B11" s="23">
        <v>84889</v>
      </c>
    </row>
    <row r="12" spans="1:2" ht="18" thickBot="1" x14ac:dyDescent="0.35">
      <c r="A12" s="5" t="s">
        <v>152</v>
      </c>
      <c r="B12" s="23">
        <v>50515</v>
      </c>
    </row>
    <row r="13" spans="1:2" ht="18" thickBot="1" x14ac:dyDescent="0.35">
      <c r="A13" s="7" t="s">
        <v>153</v>
      </c>
      <c r="B13" s="23">
        <v>15390</v>
      </c>
    </row>
    <row r="14" spans="1:2" ht="18" thickBot="1" x14ac:dyDescent="0.35">
      <c r="A14" s="5" t="s">
        <v>154</v>
      </c>
      <c r="B14" s="23">
        <v>56500</v>
      </c>
    </row>
    <row r="15" spans="1:2" ht="18" thickBot="1" x14ac:dyDescent="0.35">
      <c r="A15" s="7" t="s">
        <v>155</v>
      </c>
      <c r="B15" s="23">
        <v>54365</v>
      </c>
    </row>
    <row r="16" spans="1:2" ht="18" thickBot="1" x14ac:dyDescent="0.35">
      <c r="A16" s="5" t="s">
        <v>156</v>
      </c>
      <c r="B16" s="23">
        <v>42390</v>
      </c>
    </row>
    <row r="17" spans="1:2" ht="18" thickBot="1" x14ac:dyDescent="0.35">
      <c r="A17" s="5" t="s">
        <v>152</v>
      </c>
      <c r="B17" s="23">
        <v>97853</v>
      </c>
    </row>
    <row r="18" spans="1:2" ht="18" thickBot="1" x14ac:dyDescent="0.35">
      <c r="A18" s="7" t="s">
        <v>153</v>
      </c>
      <c r="B18" s="23">
        <v>28202</v>
      </c>
    </row>
    <row r="19" spans="1:2" ht="18" thickBot="1" x14ac:dyDescent="0.35">
      <c r="A19" s="5" t="s">
        <v>154</v>
      </c>
      <c r="B19" s="23">
        <v>11617</v>
      </c>
    </row>
    <row r="20" spans="1:2" ht="18" thickBot="1" x14ac:dyDescent="0.35">
      <c r="A20" s="7" t="s">
        <v>155</v>
      </c>
      <c r="B20" s="23">
        <v>55275</v>
      </c>
    </row>
    <row r="21" spans="1:2" ht="18" thickBot="1" x14ac:dyDescent="0.35">
      <c r="A21" s="5" t="s">
        <v>156</v>
      </c>
      <c r="B21" s="23">
        <v>96434</v>
      </c>
    </row>
  </sheetData>
  <conditionalFormatting sqref="B2:B21">
    <cfRule type="cellIs" dxfId="18" priority="1" operator="lessThan">
      <formula>5000</formula>
    </cfRule>
    <cfRule type="cellIs" dxfId="17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6A74-3896-4441-BD05-E64155A210F8}">
  <dimension ref="A1:C21"/>
  <sheetViews>
    <sheetView workbookViewId="0">
      <selection sqref="A1:XFD1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8.140625" bestFit="1" customWidth="1"/>
  </cols>
  <sheetData>
    <row r="1" spans="1:3" s="41" customFormat="1" ht="17.25" x14ac:dyDescent="0.25">
      <c r="A1" s="54" t="s">
        <v>59</v>
      </c>
      <c r="B1" s="54" t="s">
        <v>1</v>
      </c>
      <c r="C1" s="54" t="s">
        <v>157</v>
      </c>
    </row>
    <row r="2" spans="1:3" ht="17.25" x14ac:dyDescent="0.25">
      <c r="A2" s="25">
        <v>1</v>
      </c>
      <c r="B2" s="25" t="s">
        <v>114</v>
      </c>
      <c r="C2" s="25">
        <v>85</v>
      </c>
    </row>
    <row r="3" spans="1:3" ht="17.25" x14ac:dyDescent="0.25">
      <c r="A3" s="27">
        <v>2</v>
      </c>
      <c r="B3" s="27" t="s">
        <v>158</v>
      </c>
      <c r="C3" s="27">
        <v>72</v>
      </c>
    </row>
    <row r="4" spans="1:3" ht="17.25" x14ac:dyDescent="0.25">
      <c r="A4" s="25">
        <v>3</v>
      </c>
      <c r="B4" s="25" t="s">
        <v>159</v>
      </c>
      <c r="C4" s="25">
        <v>39</v>
      </c>
    </row>
    <row r="5" spans="1:3" ht="17.25" x14ac:dyDescent="0.25">
      <c r="A5" s="27">
        <v>4</v>
      </c>
      <c r="B5" s="27" t="s">
        <v>160</v>
      </c>
      <c r="C5" s="27">
        <v>91</v>
      </c>
    </row>
    <row r="6" spans="1:3" ht="17.25" x14ac:dyDescent="0.25">
      <c r="A6" s="25">
        <v>5</v>
      </c>
      <c r="B6" s="25" t="s">
        <v>161</v>
      </c>
      <c r="C6" s="25">
        <v>28</v>
      </c>
    </row>
    <row r="7" spans="1:3" ht="17.25" x14ac:dyDescent="0.25">
      <c r="A7" s="27">
        <v>6</v>
      </c>
      <c r="B7" s="27" t="s">
        <v>57</v>
      </c>
      <c r="C7" s="28">
        <v>62</v>
      </c>
    </row>
    <row r="8" spans="1:3" ht="17.25" x14ac:dyDescent="0.25">
      <c r="A8" s="25">
        <v>7</v>
      </c>
      <c r="B8" s="25" t="s">
        <v>69</v>
      </c>
      <c r="C8" s="28">
        <v>75</v>
      </c>
    </row>
    <row r="9" spans="1:3" ht="17.25" x14ac:dyDescent="0.25">
      <c r="A9" s="27">
        <v>8</v>
      </c>
      <c r="B9" s="27" t="s">
        <v>70</v>
      </c>
      <c r="C9" s="28">
        <v>61</v>
      </c>
    </row>
    <row r="10" spans="1:3" ht="17.25" x14ac:dyDescent="0.25">
      <c r="A10" s="25">
        <v>9</v>
      </c>
      <c r="B10" s="25" t="s">
        <v>71</v>
      </c>
      <c r="C10" s="28">
        <v>62</v>
      </c>
    </row>
    <row r="11" spans="1:3" ht="17.25" x14ac:dyDescent="0.25">
      <c r="A11" s="27">
        <v>10</v>
      </c>
      <c r="B11" s="27" t="s">
        <v>72</v>
      </c>
      <c r="C11" s="28">
        <v>80</v>
      </c>
    </row>
    <row r="12" spans="1:3" ht="17.25" x14ac:dyDescent="0.25">
      <c r="A12" s="25">
        <v>11</v>
      </c>
      <c r="B12" s="25" t="s">
        <v>73</v>
      </c>
      <c r="C12" s="28">
        <v>69</v>
      </c>
    </row>
    <row r="13" spans="1:3" ht="17.25" x14ac:dyDescent="0.25">
      <c r="A13" s="27">
        <v>12</v>
      </c>
      <c r="B13" s="27" t="s">
        <v>74</v>
      </c>
      <c r="C13" s="28">
        <v>85</v>
      </c>
    </row>
    <row r="14" spans="1:3" ht="17.25" x14ac:dyDescent="0.25">
      <c r="A14" s="25">
        <v>13</v>
      </c>
      <c r="B14" s="25" t="s">
        <v>75</v>
      </c>
      <c r="C14" s="28">
        <v>85</v>
      </c>
    </row>
    <row r="15" spans="1:3" ht="17.25" x14ac:dyDescent="0.25">
      <c r="A15" s="27">
        <v>14</v>
      </c>
      <c r="B15" s="27" t="s">
        <v>76</v>
      </c>
      <c r="C15" s="28">
        <v>94</v>
      </c>
    </row>
    <row r="16" spans="1:3" ht="17.25" x14ac:dyDescent="0.25">
      <c r="A16" s="25">
        <v>15</v>
      </c>
      <c r="B16" s="25" t="s">
        <v>77</v>
      </c>
      <c r="C16" s="28">
        <v>65</v>
      </c>
    </row>
    <row r="17" spans="1:3" ht="17.25" x14ac:dyDescent="0.25">
      <c r="A17" s="27">
        <v>16</v>
      </c>
      <c r="B17" s="27" t="s">
        <v>78</v>
      </c>
      <c r="C17" s="28">
        <v>83</v>
      </c>
    </row>
    <row r="18" spans="1:3" ht="17.25" x14ac:dyDescent="0.25">
      <c r="A18" s="25">
        <v>17</v>
      </c>
      <c r="B18" s="25" t="s">
        <v>79</v>
      </c>
      <c r="C18" s="28">
        <v>57</v>
      </c>
    </row>
    <row r="19" spans="1:3" ht="17.25" x14ac:dyDescent="0.25">
      <c r="A19" s="27">
        <v>18</v>
      </c>
      <c r="B19" s="27" t="s">
        <v>80</v>
      </c>
      <c r="C19" s="28">
        <v>62</v>
      </c>
    </row>
    <row r="20" spans="1:3" ht="17.25" x14ac:dyDescent="0.25">
      <c r="A20" s="25">
        <v>19</v>
      </c>
      <c r="B20" s="25" t="s">
        <v>81</v>
      </c>
      <c r="C20" s="28">
        <v>68</v>
      </c>
    </row>
    <row r="21" spans="1:3" ht="17.25" x14ac:dyDescent="0.25">
      <c r="A21" s="27">
        <v>20</v>
      </c>
      <c r="B21" s="27" t="s">
        <v>82</v>
      </c>
      <c r="C21" s="28">
        <v>96</v>
      </c>
    </row>
  </sheetData>
  <conditionalFormatting sqref="C2:C21">
    <cfRule type="cellIs" dxfId="16" priority="1" operator="lessThan">
      <formula>40</formula>
    </cfRule>
    <cfRule type="cellIs" dxfId="15" priority="2" operator="greaterThanOrEqual">
      <formula>75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D5AE-F918-4145-A5F8-33FA70950D8B}">
  <dimension ref="A1:B21"/>
  <sheetViews>
    <sheetView workbookViewId="0">
      <selection activeCell="A6" sqref="A6:A21"/>
    </sheetView>
  </sheetViews>
  <sheetFormatPr defaultRowHeight="15" x14ac:dyDescent="0.25"/>
  <cols>
    <col min="1" max="1" width="19.5703125" style="40" bestFit="1" customWidth="1"/>
    <col min="2" max="2" width="11.42578125" style="40" customWidth="1"/>
  </cols>
  <sheetData>
    <row r="1" spans="1:2" s="41" customFormat="1" ht="17.25" x14ac:dyDescent="0.25">
      <c r="A1" s="43" t="s">
        <v>109</v>
      </c>
      <c r="B1" s="43" t="s">
        <v>3</v>
      </c>
    </row>
    <row r="2" spans="1:2" ht="17.25" x14ac:dyDescent="0.25">
      <c r="A2" s="28" t="s">
        <v>162</v>
      </c>
      <c r="B2" s="28">
        <v>28000</v>
      </c>
    </row>
    <row r="3" spans="1:2" ht="17.25" x14ac:dyDescent="0.25">
      <c r="A3" s="28" t="s">
        <v>163</v>
      </c>
      <c r="B3" s="28">
        <v>34000</v>
      </c>
    </row>
    <row r="4" spans="1:2" ht="17.25" x14ac:dyDescent="0.25">
      <c r="A4" s="28" t="s">
        <v>164</v>
      </c>
      <c r="B4" s="28">
        <v>51000</v>
      </c>
    </row>
    <row r="5" spans="1:2" ht="17.25" x14ac:dyDescent="0.25">
      <c r="A5" s="28" t="s">
        <v>165</v>
      </c>
      <c r="B5" s="28">
        <v>47000</v>
      </c>
    </row>
    <row r="6" spans="1:2" ht="17.25" x14ac:dyDescent="0.25">
      <c r="A6" s="28" t="s">
        <v>166</v>
      </c>
      <c r="B6" s="28">
        <v>29000</v>
      </c>
    </row>
    <row r="7" spans="1:2" ht="17.25" x14ac:dyDescent="0.25">
      <c r="A7" s="42" t="s">
        <v>57</v>
      </c>
      <c r="B7" s="28">
        <v>88991</v>
      </c>
    </row>
    <row r="8" spans="1:2" ht="17.25" x14ac:dyDescent="0.25">
      <c r="A8" s="29" t="s">
        <v>69</v>
      </c>
      <c r="B8" s="28">
        <v>46000</v>
      </c>
    </row>
    <row r="9" spans="1:2" ht="17.25" x14ac:dyDescent="0.25">
      <c r="A9" s="42" t="s">
        <v>70</v>
      </c>
      <c r="B9" s="28">
        <v>47944</v>
      </c>
    </row>
    <row r="10" spans="1:2" ht="17.25" x14ac:dyDescent="0.25">
      <c r="A10" s="29" t="s">
        <v>71</v>
      </c>
      <c r="B10" s="28">
        <v>70242</v>
      </c>
    </row>
    <row r="11" spans="1:2" ht="17.25" x14ac:dyDescent="0.25">
      <c r="A11" s="42" t="s">
        <v>72</v>
      </c>
      <c r="B11" s="28">
        <v>47036</v>
      </c>
    </row>
    <row r="12" spans="1:2" ht="17.25" x14ac:dyDescent="0.25">
      <c r="A12" s="29" t="s">
        <v>73</v>
      </c>
      <c r="B12" s="28">
        <v>50000</v>
      </c>
    </row>
    <row r="13" spans="1:2" ht="17.25" x14ac:dyDescent="0.25">
      <c r="A13" s="42" t="s">
        <v>74</v>
      </c>
      <c r="B13" s="28">
        <v>30000</v>
      </c>
    </row>
    <row r="14" spans="1:2" ht="17.25" x14ac:dyDescent="0.25">
      <c r="A14" s="29" t="s">
        <v>75</v>
      </c>
      <c r="B14" s="28">
        <v>62176</v>
      </c>
    </row>
    <row r="15" spans="1:2" ht="17.25" x14ac:dyDescent="0.25">
      <c r="A15" s="42" t="s">
        <v>76</v>
      </c>
      <c r="B15" s="28">
        <v>90408</v>
      </c>
    </row>
    <row r="16" spans="1:2" ht="17.25" x14ac:dyDescent="0.25">
      <c r="A16" s="29" t="s">
        <v>77</v>
      </c>
      <c r="B16" s="28">
        <v>98515</v>
      </c>
    </row>
    <row r="17" spans="1:2" ht="17.25" x14ac:dyDescent="0.25">
      <c r="A17" s="42" t="s">
        <v>78</v>
      </c>
      <c r="B17" s="28">
        <v>39893</v>
      </c>
    </row>
    <row r="18" spans="1:2" ht="17.25" x14ac:dyDescent="0.25">
      <c r="A18" s="29" t="s">
        <v>79</v>
      </c>
      <c r="B18" s="28">
        <v>20000</v>
      </c>
    </row>
    <row r="19" spans="1:2" ht="17.25" x14ac:dyDescent="0.25">
      <c r="A19" s="42" t="s">
        <v>80</v>
      </c>
      <c r="B19" s="28">
        <v>65897</v>
      </c>
    </row>
    <row r="20" spans="1:2" ht="17.25" x14ac:dyDescent="0.25">
      <c r="A20" s="29" t="s">
        <v>81</v>
      </c>
      <c r="B20" s="28">
        <v>49000</v>
      </c>
    </row>
    <row r="21" spans="1:2" ht="17.25" x14ac:dyDescent="0.25">
      <c r="A21" s="42" t="s">
        <v>82</v>
      </c>
      <c r="B21" s="28">
        <v>62119</v>
      </c>
    </row>
  </sheetData>
  <conditionalFormatting sqref="B2:B21">
    <cfRule type="cellIs" dxfId="14" priority="1" operator="lessThan">
      <formula>30000</formula>
    </cfRule>
    <cfRule type="cellIs" dxfId="13" priority="2" operator="between">
      <formula>30000</formula>
      <formula>49999</formula>
    </cfRule>
    <cfRule type="cellIs" dxfId="12" priority="3" operator="greaterThanOrEqual">
      <formula>50000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1188-B899-4601-8C75-2347B553933D}">
  <dimension ref="A1:H8"/>
  <sheetViews>
    <sheetView workbookViewId="0">
      <selection sqref="A1:XFD1"/>
    </sheetView>
  </sheetViews>
  <sheetFormatPr defaultRowHeight="15" x14ac:dyDescent="0.25"/>
  <cols>
    <col min="1" max="1" width="12.7109375" bestFit="1" customWidth="1"/>
    <col min="2" max="2" width="17.42578125" bestFit="1" customWidth="1"/>
    <col min="3" max="3" width="13.42578125" bestFit="1" customWidth="1"/>
    <col min="4" max="4" width="19.5703125" bestFit="1" customWidth="1"/>
  </cols>
  <sheetData>
    <row r="1" spans="1:8" s="41" customFormat="1" x14ac:dyDescent="0.25">
      <c r="A1" s="41" t="s">
        <v>167</v>
      </c>
      <c r="B1" s="41" t="s">
        <v>172</v>
      </c>
      <c r="C1" s="41" t="s">
        <v>173</v>
      </c>
      <c r="D1" s="41" t="s">
        <v>174</v>
      </c>
    </row>
    <row r="2" spans="1:8" x14ac:dyDescent="0.25">
      <c r="A2" t="s">
        <v>168</v>
      </c>
      <c r="B2">
        <v>45</v>
      </c>
      <c r="C2">
        <v>92</v>
      </c>
      <c r="D2" t="str">
        <f>IF(AND(C2&gt;=90,B2&gt;=40),"Excellent",IF(C2&gt;=80,"Good","Needs Improvement"))</f>
        <v>Excellent</v>
      </c>
    </row>
    <row r="3" spans="1:8" x14ac:dyDescent="0.25">
      <c r="A3" t="s">
        <v>169</v>
      </c>
      <c r="B3">
        <v>38</v>
      </c>
      <c r="C3">
        <v>85</v>
      </c>
      <c r="D3" t="str">
        <f t="shared" ref="D3:D6" si="0">IF(AND(C3&gt;=90,B3&gt;=40),"Excellent",IF(C3&gt;=80,"Good","Needs Improvement"))</f>
        <v>Good</v>
      </c>
    </row>
    <row r="4" spans="1:8" x14ac:dyDescent="0.25">
      <c r="A4" t="s">
        <v>170</v>
      </c>
      <c r="B4">
        <v>50</v>
      </c>
      <c r="C4">
        <v>95</v>
      </c>
      <c r="D4" t="str">
        <f t="shared" si="0"/>
        <v>Excellent</v>
      </c>
    </row>
    <row r="5" spans="1:8" x14ac:dyDescent="0.25">
      <c r="A5" t="s">
        <v>53</v>
      </c>
      <c r="B5">
        <v>30</v>
      </c>
      <c r="C5">
        <v>70</v>
      </c>
      <c r="D5" t="str">
        <f t="shared" si="0"/>
        <v>Needs Improvement</v>
      </c>
    </row>
    <row r="6" spans="1:8" x14ac:dyDescent="0.25">
      <c r="A6" t="s">
        <v>171</v>
      </c>
      <c r="B6">
        <v>42</v>
      </c>
      <c r="C6">
        <v>88</v>
      </c>
      <c r="D6" t="str">
        <f t="shared" si="0"/>
        <v>Good</v>
      </c>
      <c r="H6" t="s">
        <v>175</v>
      </c>
    </row>
    <row r="7" spans="1:8" x14ac:dyDescent="0.25">
      <c r="H7" t="s">
        <v>176</v>
      </c>
    </row>
    <row r="8" spans="1:8" x14ac:dyDescent="0.25">
      <c r="H8" t="s">
        <v>177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2E66-3F13-4422-878E-43B4C43E2218}">
  <dimension ref="A1:D21"/>
  <sheetViews>
    <sheetView workbookViewId="0">
      <selection sqref="A1:XFD1"/>
    </sheetView>
  </sheetViews>
  <sheetFormatPr defaultRowHeight="15" x14ac:dyDescent="0.25"/>
  <cols>
    <col min="1" max="1" width="7.42578125" bestFit="1" customWidth="1"/>
    <col min="4" max="4" width="6.5703125" bestFit="1" customWidth="1"/>
  </cols>
  <sheetData>
    <row r="1" spans="1:4" s="41" customFormat="1" x14ac:dyDescent="0.25">
      <c r="A1" s="41" t="s">
        <v>59</v>
      </c>
      <c r="B1" s="41" t="s">
        <v>60</v>
      </c>
      <c r="C1" s="41" t="s">
        <v>157</v>
      </c>
      <c r="D1" s="41" t="s">
        <v>178</v>
      </c>
    </row>
    <row r="2" spans="1:4" x14ac:dyDescent="0.25">
      <c r="A2">
        <v>1</v>
      </c>
      <c r="B2" t="s">
        <v>114</v>
      </c>
      <c r="C2">
        <v>78</v>
      </c>
      <c r="D2" t="str">
        <f>IF(C2&gt;=40, "Pass", "Fail")</f>
        <v>Pass</v>
      </c>
    </row>
    <row r="3" spans="1:4" x14ac:dyDescent="0.25">
      <c r="A3">
        <v>2</v>
      </c>
      <c r="B3" t="s">
        <v>158</v>
      </c>
      <c r="C3">
        <v>35</v>
      </c>
      <c r="D3" t="str">
        <f t="shared" ref="D3:D21" si="0">IF(C3&gt;=40, "Pass", "Fail")</f>
        <v>Fail</v>
      </c>
    </row>
    <row r="4" spans="1:4" x14ac:dyDescent="0.25">
      <c r="A4">
        <v>3</v>
      </c>
      <c r="B4" t="s">
        <v>54</v>
      </c>
      <c r="C4">
        <v>62</v>
      </c>
      <c r="D4" t="str">
        <f t="shared" si="0"/>
        <v>Pass</v>
      </c>
    </row>
    <row r="5" spans="1:4" x14ac:dyDescent="0.25">
      <c r="A5">
        <v>4</v>
      </c>
      <c r="B5" t="s">
        <v>160</v>
      </c>
      <c r="C5">
        <v>40</v>
      </c>
      <c r="D5" t="str">
        <f t="shared" si="0"/>
        <v>Pass</v>
      </c>
    </row>
    <row r="6" spans="1:4" x14ac:dyDescent="0.25">
      <c r="A6">
        <v>5</v>
      </c>
      <c r="B6" t="s">
        <v>161</v>
      </c>
      <c r="C6">
        <v>28</v>
      </c>
      <c r="D6" t="str">
        <f t="shared" si="0"/>
        <v>Fail</v>
      </c>
    </row>
    <row r="7" spans="1:4" x14ac:dyDescent="0.25">
      <c r="A7">
        <v>6</v>
      </c>
      <c r="B7" t="s">
        <v>166</v>
      </c>
      <c r="C7">
        <v>64</v>
      </c>
      <c r="D7" t="str">
        <f t="shared" si="0"/>
        <v>Pass</v>
      </c>
    </row>
    <row r="8" spans="1:4" x14ac:dyDescent="0.25">
      <c r="A8">
        <v>7</v>
      </c>
      <c r="B8" t="s">
        <v>57</v>
      </c>
      <c r="C8">
        <v>60</v>
      </c>
      <c r="D8" t="str">
        <f t="shared" si="0"/>
        <v>Pass</v>
      </c>
    </row>
    <row r="9" spans="1:4" x14ac:dyDescent="0.25">
      <c r="A9">
        <v>8</v>
      </c>
      <c r="B9" t="s">
        <v>69</v>
      </c>
      <c r="C9">
        <v>50</v>
      </c>
      <c r="D9" t="str">
        <f t="shared" si="0"/>
        <v>Pass</v>
      </c>
    </row>
    <row r="10" spans="1:4" x14ac:dyDescent="0.25">
      <c r="A10">
        <v>9</v>
      </c>
      <c r="B10" t="s">
        <v>70</v>
      </c>
      <c r="C10">
        <v>60</v>
      </c>
      <c r="D10" t="str">
        <f t="shared" si="0"/>
        <v>Pass</v>
      </c>
    </row>
    <row r="11" spans="1:4" x14ac:dyDescent="0.25">
      <c r="A11">
        <v>10</v>
      </c>
      <c r="B11" t="s">
        <v>71</v>
      </c>
      <c r="C11">
        <v>74</v>
      </c>
      <c r="D11" t="str">
        <f t="shared" si="0"/>
        <v>Pass</v>
      </c>
    </row>
    <row r="12" spans="1:4" x14ac:dyDescent="0.25">
      <c r="A12">
        <v>11</v>
      </c>
      <c r="B12" t="s">
        <v>72</v>
      </c>
      <c r="C12">
        <v>10</v>
      </c>
      <c r="D12" t="str">
        <f t="shared" si="0"/>
        <v>Fail</v>
      </c>
    </row>
    <row r="13" spans="1:4" x14ac:dyDescent="0.25">
      <c r="A13">
        <v>12</v>
      </c>
      <c r="B13" t="s">
        <v>73</v>
      </c>
      <c r="C13">
        <v>64</v>
      </c>
      <c r="D13" t="str">
        <f t="shared" si="0"/>
        <v>Pass</v>
      </c>
    </row>
    <row r="14" spans="1:4" x14ac:dyDescent="0.25">
      <c r="A14">
        <v>13</v>
      </c>
      <c r="B14" t="s">
        <v>74</v>
      </c>
      <c r="C14">
        <v>52</v>
      </c>
      <c r="D14" t="str">
        <f t="shared" si="0"/>
        <v>Pass</v>
      </c>
    </row>
    <row r="15" spans="1:4" x14ac:dyDescent="0.25">
      <c r="A15">
        <v>14</v>
      </c>
      <c r="B15" t="s">
        <v>75</v>
      </c>
      <c r="C15">
        <v>84</v>
      </c>
      <c r="D15" t="str">
        <f t="shared" si="0"/>
        <v>Pass</v>
      </c>
    </row>
    <row r="16" spans="1:4" x14ac:dyDescent="0.25">
      <c r="A16">
        <v>15</v>
      </c>
      <c r="B16" t="s">
        <v>76</v>
      </c>
      <c r="C16">
        <v>18</v>
      </c>
      <c r="D16" t="str">
        <f t="shared" si="0"/>
        <v>Fail</v>
      </c>
    </row>
    <row r="17" spans="1:4" x14ac:dyDescent="0.25">
      <c r="A17">
        <v>16</v>
      </c>
      <c r="B17" t="s">
        <v>77</v>
      </c>
      <c r="C17">
        <v>65</v>
      </c>
      <c r="D17" t="str">
        <f t="shared" si="0"/>
        <v>Pass</v>
      </c>
    </row>
    <row r="18" spans="1:4" x14ac:dyDescent="0.25">
      <c r="A18">
        <v>17</v>
      </c>
      <c r="B18" t="s">
        <v>78</v>
      </c>
      <c r="C18">
        <v>15</v>
      </c>
      <c r="D18" t="str">
        <f t="shared" si="0"/>
        <v>Fail</v>
      </c>
    </row>
    <row r="19" spans="1:4" x14ac:dyDescent="0.25">
      <c r="A19">
        <v>18</v>
      </c>
      <c r="B19" t="s">
        <v>79</v>
      </c>
      <c r="C19">
        <v>47</v>
      </c>
      <c r="D19" t="str">
        <f t="shared" si="0"/>
        <v>Pass</v>
      </c>
    </row>
    <row r="20" spans="1:4" x14ac:dyDescent="0.25">
      <c r="A20">
        <v>19</v>
      </c>
      <c r="B20" t="s">
        <v>80</v>
      </c>
      <c r="C20">
        <v>30</v>
      </c>
      <c r="D20" t="str">
        <f t="shared" si="0"/>
        <v>Fail</v>
      </c>
    </row>
    <row r="21" spans="1:4" x14ac:dyDescent="0.25">
      <c r="A21">
        <v>20</v>
      </c>
      <c r="B21" t="s">
        <v>81</v>
      </c>
      <c r="C21">
        <v>98</v>
      </c>
      <c r="D21" t="str">
        <f t="shared" si="0"/>
        <v>Pass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3ABC-0CCF-4E98-ADC9-F1A61A8D5AAD}">
  <dimension ref="A1:C21"/>
  <sheetViews>
    <sheetView workbookViewId="0">
      <selection sqref="A1:XFD1"/>
    </sheetView>
  </sheetViews>
  <sheetFormatPr defaultRowHeight="15" x14ac:dyDescent="0.25"/>
  <cols>
    <col min="1" max="1" width="15.7109375" bestFit="1" customWidth="1"/>
    <col min="2" max="2" width="6.28515625" bestFit="1" customWidth="1"/>
    <col min="3" max="3" width="12.28515625" bestFit="1" customWidth="1"/>
  </cols>
  <sheetData>
    <row r="1" spans="1:3" s="41" customFormat="1" x14ac:dyDescent="0.25">
      <c r="A1" s="41" t="s">
        <v>109</v>
      </c>
      <c r="B1" s="41" t="s">
        <v>3</v>
      </c>
      <c r="C1" s="41" t="s">
        <v>179</v>
      </c>
    </row>
    <row r="2" spans="1:3" x14ac:dyDescent="0.25">
      <c r="A2" t="s">
        <v>162</v>
      </c>
      <c r="B2">
        <v>28000</v>
      </c>
      <c r="C2" t="str">
        <f>IF(B2&gt;=40000, "Bonus", "No Bonus")</f>
        <v>No Bonus</v>
      </c>
    </row>
    <row r="3" spans="1:3" x14ac:dyDescent="0.25">
      <c r="A3" t="s">
        <v>163</v>
      </c>
      <c r="B3">
        <v>45000</v>
      </c>
      <c r="C3" t="str">
        <f t="shared" ref="C3:C21" si="0">IF(B3&gt;=40000, "Bonus", "No Bonus")</f>
        <v>Bonus</v>
      </c>
    </row>
    <row r="4" spans="1:3" x14ac:dyDescent="0.25">
      <c r="A4" t="s">
        <v>164</v>
      </c>
      <c r="B4">
        <v>52000</v>
      </c>
      <c r="C4" t="str">
        <f t="shared" si="0"/>
        <v>Bonus</v>
      </c>
    </row>
    <row r="5" spans="1:3" x14ac:dyDescent="0.25">
      <c r="A5" t="s">
        <v>165</v>
      </c>
      <c r="B5">
        <v>30000</v>
      </c>
      <c r="C5" t="str">
        <f t="shared" si="0"/>
        <v>No Bonus</v>
      </c>
    </row>
    <row r="6" spans="1:3" x14ac:dyDescent="0.25">
      <c r="A6" t="s">
        <v>161</v>
      </c>
      <c r="B6">
        <v>47531</v>
      </c>
      <c r="C6" t="str">
        <f t="shared" si="0"/>
        <v>Bonus</v>
      </c>
    </row>
    <row r="7" spans="1:3" x14ac:dyDescent="0.25">
      <c r="A7" t="s">
        <v>166</v>
      </c>
      <c r="B7">
        <v>68625</v>
      </c>
      <c r="C7" t="str">
        <f t="shared" si="0"/>
        <v>Bonus</v>
      </c>
    </row>
    <row r="8" spans="1:3" x14ac:dyDescent="0.25">
      <c r="A8" t="s">
        <v>57</v>
      </c>
      <c r="B8">
        <v>55233</v>
      </c>
      <c r="C8" t="str">
        <f t="shared" si="0"/>
        <v>Bonus</v>
      </c>
    </row>
    <row r="9" spans="1:3" x14ac:dyDescent="0.25">
      <c r="A9" t="s">
        <v>69</v>
      </c>
      <c r="B9">
        <v>49541</v>
      </c>
      <c r="C9" t="str">
        <f t="shared" si="0"/>
        <v>Bonus</v>
      </c>
    </row>
    <row r="10" spans="1:3" x14ac:dyDescent="0.25">
      <c r="A10" t="s">
        <v>70</v>
      </c>
      <c r="B10">
        <v>22225</v>
      </c>
      <c r="C10" t="str">
        <f t="shared" si="0"/>
        <v>No Bonus</v>
      </c>
    </row>
    <row r="11" spans="1:3" x14ac:dyDescent="0.25">
      <c r="A11" t="s">
        <v>71</v>
      </c>
      <c r="B11">
        <v>48074</v>
      </c>
      <c r="C11" t="str">
        <f t="shared" si="0"/>
        <v>Bonus</v>
      </c>
    </row>
    <row r="12" spans="1:3" x14ac:dyDescent="0.25">
      <c r="A12" t="s">
        <v>72</v>
      </c>
      <c r="B12">
        <v>10845</v>
      </c>
      <c r="C12" t="str">
        <f t="shared" si="0"/>
        <v>No Bonus</v>
      </c>
    </row>
    <row r="13" spans="1:3" x14ac:dyDescent="0.25">
      <c r="A13" t="s">
        <v>73</v>
      </c>
      <c r="B13">
        <v>86444</v>
      </c>
      <c r="C13" t="str">
        <f t="shared" si="0"/>
        <v>Bonus</v>
      </c>
    </row>
    <row r="14" spans="1:3" x14ac:dyDescent="0.25">
      <c r="A14" t="s">
        <v>74</v>
      </c>
      <c r="B14">
        <v>41889</v>
      </c>
      <c r="C14" t="str">
        <f t="shared" si="0"/>
        <v>Bonus</v>
      </c>
    </row>
    <row r="15" spans="1:3" x14ac:dyDescent="0.25">
      <c r="A15" t="s">
        <v>75</v>
      </c>
      <c r="B15">
        <v>69741</v>
      </c>
      <c r="C15" t="str">
        <f t="shared" si="0"/>
        <v>Bonus</v>
      </c>
    </row>
    <row r="16" spans="1:3" x14ac:dyDescent="0.25">
      <c r="A16" t="s">
        <v>76</v>
      </c>
      <c r="B16">
        <v>71681</v>
      </c>
      <c r="C16" t="str">
        <f t="shared" si="0"/>
        <v>Bonus</v>
      </c>
    </row>
    <row r="17" spans="1:3" x14ac:dyDescent="0.25">
      <c r="A17" t="s">
        <v>77</v>
      </c>
      <c r="B17">
        <v>11591</v>
      </c>
      <c r="C17" t="str">
        <f t="shared" si="0"/>
        <v>No Bonus</v>
      </c>
    </row>
    <row r="18" spans="1:3" x14ac:dyDescent="0.25">
      <c r="A18" t="s">
        <v>78</v>
      </c>
      <c r="B18">
        <v>61133</v>
      </c>
      <c r="C18" t="str">
        <f t="shared" si="0"/>
        <v>Bonus</v>
      </c>
    </row>
    <row r="19" spans="1:3" x14ac:dyDescent="0.25">
      <c r="A19" t="s">
        <v>79</v>
      </c>
      <c r="B19">
        <v>73282</v>
      </c>
      <c r="C19" t="str">
        <f t="shared" si="0"/>
        <v>Bonus</v>
      </c>
    </row>
    <row r="20" spans="1:3" x14ac:dyDescent="0.25">
      <c r="A20" t="s">
        <v>80</v>
      </c>
      <c r="B20">
        <v>26440</v>
      </c>
      <c r="C20" t="str">
        <f t="shared" si="0"/>
        <v>No Bonus</v>
      </c>
    </row>
    <row r="21" spans="1:3" x14ac:dyDescent="0.25">
      <c r="A21" t="s">
        <v>81</v>
      </c>
      <c r="B21">
        <v>56065</v>
      </c>
      <c r="C21" t="str">
        <f t="shared" si="0"/>
        <v>Bonus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4C67-B624-4619-A39E-399E7FBF3612}">
  <dimension ref="A1:C21"/>
  <sheetViews>
    <sheetView workbookViewId="0">
      <selection sqref="A1:XFD1"/>
    </sheetView>
  </sheetViews>
  <sheetFormatPr defaultRowHeight="15" x14ac:dyDescent="0.25"/>
  <cols>
    <col min="1" max="1" width="13.85546875" bestFit="1" customWidth="1"/>
    <col min="2" max="2" width="6.28515625" bestFit="1" customWidth="1"/>
  </cols>
  <sheetData>
    <row r="1" spans="1:3" s="41" customFormat="1" x14ac:dyDescent="0.25">
      <c r="A1" s="41" t="s">
        <v>60</v>
      </c>
      <c r="B1" s="41" t="s">
        <v>157</v>
      </c>
      <c r="C1" s="41" t="s">
        <v>180</v>
      </c>
    </row>
    <row r="2" spans="1:3" x14ac:dyDescent="0.25">
      <c r="A2" t="s">
        <v>114</v>
      </c>
      <c r="B2">
        <v>82</v>
      </c>
      <c r="C2" t="str">
        <f>IF(B2&gt;=75,"A",IF(B2&gt;=60,"B",IF(B2&gt;=40,"C","Fail")))</f>
        <v>A</v>
      </c>
    </row>
    <row r="3" spans="1:3" x14ac:dyDescent="0.25">
      <c r="A3" t="s">
        <v>158</v>
      </c>
      <c r="B3">
        <v>67</v>
      </c>
      <c r="C3" t="str">
        <f t="shared" ref="C3:C21" si="0">IF(B3&gt;=75,"A",IF(B3&gt;=60,"B",IF(B3&gt;=40,"C","Fail")))</f>
        <v>B</v>
      </c>
    </row>
    <row r="4" spans="1:3" x14ac:dyDescent="0.25">
      <c r="A4" t="s">
        <v>54</v>
      </c>
      <c r="B4">
        <v>45</v>
      </c>
      <c r="C4" t="str">
        <f t="shared" si="0"/>
        <v>C</v>
      </c>
    </row>
    <row r="5" spans="1:3" x14ac:dyDescent="0.25">
      <c r="A5" t="s">
        <v>160</v>
      </c>
      <c r="B5">
        <v>33</v>
      </c>
      <c r="C5" t="str">
        <f t="shared" si="0"/>
        <v>Fail</v>
      </c>
    </row>
    <row r="6" spans="1:3" x14ac:dyDescent="0.25">
      <c r="A6" t="s">
        <v>161</v>
      </c>
      <c r="B6">
        <v>90</v>
      </c>
      <c r="C6" t="str">
        <f t="shared" si="0"/>
        <v>A</v>
      </c>
    </row>
    <row r="7" spans="1:3" x14ac:dyDescent="0.25">
      <c r="A7" t="s">
        <v>166</v>
      </c>
      <c r="B7">
        <v>59</v>
      </c>
      <c r="C7" t="str">
        <f t="shared" si="0"/>
        <v>C</v>
      </c>
    </row>
    <row r="8" spans="1:3" x14ac:dyDescent="0.25">
      <c r="A8" t="s">
        <v>57</v>
      </c>
      <c r="B8">
        <v>22</v>
      </c>
      <c r="C8" t="str">
        <f t="shared" si="0"/>
        <v>Fail</v>
      </c>
    </row>
    <row r="9" spans="1:3" x14ac:dyDescent="0.25">
      <c r="A9" t="s">
        <v>69</v>
      </c>
      <c r="B9">
        <v>52</v>
      </c>
      <c r="C9" t="str">
        <f t="shared" si="0"/>
        <v>C</v>
      </c>
    </row>
    <row r="10" spans="1:3" x14ac:dyDescent="0.25">
      <c r="A10" t="s">
        <v>70</v>
      </c>
      <c r="B10">
        <v>87</v>
      </c>
      <c r="C10" t="str">
        <f t="shared" si="0"/>
        <v>A</v>
      </c>
    </row>
    <row r="11" spans="1:3" x14ac:dyDescent="0.25">
      <c r="A11" t="s">
        <v>71</v>
      </c>
      <c r="B11">
        <v>71</v>
      </c>
      <c r="C11" t="str">
        <f t="shared" si="0"/>
        <v>B</v>
      </c>
    </row>
    <row r="12" spans="1:3" x14ac:dyDescent="0.25">
      <c r="A12" t="s">
        <v>72</v>
      </c>
      <c r="B12">
        <v>59</v>
      </c>
      <c r="C12" t="str">
        <f t="shared" si="0"/>
        <v>C</v>
      </c>
    </row>
    <row r="13" spans="1:3" x14ac:dyDescent="0.25">
      <c r="A13" t="s">
        <v>73</v>
      </c>
      <c r="B13">
        <v>64</v>
      </c>
      <c r="C13" t="str">
        <f t="shared" si="0"/>
        <v>B</v>
      </c>
    </row>
    <row r="14" spans="1:3" x14ac:dyDescent="0.25">
      <c r="A14" t="s">
        <v>74</v>
      </c>
      <c r="B14">
        <v>30</v>
      </c>
      <c r="C14" t="str">
        <f t="shared" si="0"/>
        <v>Fail</v>
      </c>
    </row>
    <row r="15" spans="1:3" x14ac:dyDescent="0.25">
      <c r="A15" t="s">
        <v>75</v>
      </c>
      <c r="B15">
        <v>41</v>
      </c>
      <c r="C15" t="str">
        <f t="shared" si="0"/>
        <v>C</v>
      </c>
    </row>
    <row r="16" spans="1:3" x14ac:dyDescent="0.25">
      <c r="A16" t="s">
        <v>76</v>
      </c>
      <c r="B16">
        <v>39</v>
      </c>
      <c r="C16" t="str">
        <f t="shared" si="0"/>
        <v>Fail</v>
      </c>
    </row>
    <row r="17" spans="1:3" x14ac:dyDescent="0.25">
      <c r="A17" t="s">
        <v>77</v>
      </c>
      <c r="B17">
        <v>90</v>
      </c>
      <c r="C17" t="str">
        <f t="shared" si="0"/>
        <v>A</v>
      </c>
    </row>
    <row r="18" spans="1:3" x14ac:dyDescent="0.25">
      <c r="A18" t="s">
        <v>78</v>
      </c>
      <c r="B18">
        <v>37</v>
      </c>
      <c r="C18" t="str">
        <f t="shared" si="0"/>
        <v>Fail</v>
      </c>
    </row>
    <row r="19" spans="1:3" x14ac:dyDescent="0.25">
      <c r="A19" t="s">
        <v>79</v>
      </c>
      <c r="B19">
        <v>87</v>
      </c>
      <c r="C19" t="str">
        <f t="shared" si="0"/>
        <v>A</v>
      </c>
    </row>
    <row r="20" spans="1:3" x14ac:dyDescent="0.25">
      <c r="A20" t="s">
        <v>80</v>
      </c>
      <c r="B20">
        <v>33</v>
      </c>
      <c r="C20" t="str">
        <f t="shared" si="0"/>
        <v>Fail</v>
      </c>
    </row>
    <row r="21" spans="1:3" x14ac:dyDescent="0.25">
      <c r="A21" t="s">
        <v>81</v>
      </c>
      <c r="B21">
        <v>80</v>
      </c>
      <c r="C21" t="str">
        <f t="shared" si="0"/>
        <v>A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CCA3-B1BC-4C5D-922B-594D37358B90}">
  <dimension ref="A1:D21"/>
  <sheetViews>
    <sheetView workbookViewId="0">
      <selection sqref="A1:XFD1"/>
    </sheetView>
  </sheetViews>
  <sheetFormatPr defaultRowHeight="15" x14ac:dyDescent="0.25"/>
  <cols>
    <col min="2" max="2" width="4.42578125" bestFit="1" customWidth="1"/>
    <col min="3" max="3" width="17.7109375" bestFit="1" customWidth="1"/>
    <col min="4" max="4" width="11.28515625" bestFit="1" customWidth="1"/>
  </cols>
  <sheetData>
    <row r="1" spans="1:4" s="41" customFormat="1" x14ac:dyDescent="0.25">
      <c r="A1" s="41" t="s">
        <v>1</v>
      </c>
      <c r="B1" s="41" t="s">
        <v>181</v>
      </c>
      <c r="C1" s="41" t="s">
        <v>182</v>
      </c>
      <c r="D1" s="41" t="s">
        <v>183</v>
      </c>
    </row>
    <row r="2" spans="1:4" x14ac:dyDescent="0.25">
      <c r="A2" t="s">
        <v>162</v>
      </c>
      <c r="B2">
        <v>25</v>
      </c>
      <c r="C2">
        <v>2</v>
      </c>
      <c r="D2" t="str">
        <f>IF(AND(B2&gt;=21, C2&gt;=1), "Eligible", "Not Eligible")</f>
        <v>Eligible</v>
      </c>
    </row>
    <row r="3" spans="1:4" x14ac:dyDescent="0.25">
      <c r="A3" t="s">
        <v>163</v>
      </c>
      <c r="B3">
        <v>20</v>
      </c>
      <c r="C3">
        <v>1</v>
      </c>
      <c r="D3" t="str">
        <f t="shared" ref="D3:D21" si="0">IF(AND(B3&gt;=21, C3&gt;=1), "Eligible", "Not Eligible")</f>
        <v>Not Eligible</v>
      </c>
    </row>
    <row r="4" spans="1:4" x14ac:dyDescent="0.25">
      <c r="A4" t="s">
        <v>164</v>
      </c>
      <c r="B4">
        <v>30</v>
      </c>
      <c r="C4">
        <v>5</v>
      </c>
      <c r="D4" t="str">
        <f t="shared" si="0"/>
        <v>Eligible</v>
      </c>
    </row>
    <row r="5" spans="1:4" x14ac:dyDescent="0.25">
      <c r="A5" t="s">
        <v>165</v>
      </c>
      <c r="B5">
        <v>22</v>
      </c>
      <c r="C5">
        <v>0</v>
      </c>
      <c r="D5" t="str">
        <f t="shared" si="0"/>
        <v>Not Eligible</v>
      </c>
    </row>
    <row r="6" spans="1:4" x14ac:dyDescent="0.25">
      <c r="A6" t="s">
        <v>161</v>
      </c>
      <c r="B6">
        <v>23</v>
      </c>
      <c r="C6">
        <v>0</v>
      </c>
      <c r="D6" t="str">
        <f t="shared" si="0"/>
        <v>Not Eligible</v>
      </c>
    </row>
    <row r="7" spans="1:4" x14ac:dyDescent="0.25">
      <c r="A7" t="s">
        <v>166</v>
      </c>
      <c r="B7">
        <v>21</v>
      </c>
      <c r="C7">
        <v>1</v>
      </c>
      <c r="D7" t="str">
        <f t="shared" si="0"/>
        <v>Eligible</v>
      </c>
    </row>
    <row r="8" spans="1:4" x14ac:dyDescent="0.25">
      <c r="A8" t="s">
        <v>57</v>
      </c>
      <c r="B8">
        <v>28</v>
      </c>
      <c r="C8">
        <v>4</v>
      </c>
      <c r="D8" t="str">
        <f t="shared" si="0"/>
        <v>Eligible</v>
      </c>
    </row>
    <row r="9" spans="1:4" x14ac:dyDescent="0.25">
      <c r="A9" t="s">
        <v>69</v>
      </c>
      <c r="B9">
        <v>30</v>
      </c>
      <c r="C9">
        <v>5</v>
      </c>
      <c r="D9" t="str">
        <f t="shared" si="0"/>
        <v>Eligible</v>
      </c>
    </row>
    <row r="10" spans="1:4" x14ac:dyDescent="0.25">
      <c r="A10" t="s">
        <v>70</v>
      </c>
      <c r="B10">
        <v>22</v>
      </c>
      <c r="C10">
        <v>3</v>
      </c>
      <c r="D10" t="str">
        <f t="shared" si="0"/>
        <v>Eligible</v>
      </c>
    </row>
    <row r="11" spans="1:4" x14ac:dyDescent="0.25">
      <c r="A11" t="s">
        <v>71</v>
      </c>
      <c r="B11">
        <v>25</v>
      </c>
      <c r="C11">
        <v>4</v>
      </c>
      <c r="D11" t="str">
        <f t="shared" si="0"/>
        <v>Eligible</v>
      </c>
    </row>
    <row r="12" spans="1:4" x14ac:dyDescent="0.25">
      <c r="A12" t="s">
        <v>72</v>
      </c>
      <c r="B12">
        <v>24</v>
      </c>
      <c r="C12">
        <v>3</v>
      </c>
      <c r="D12" t="str">
        <f t="shared" si="0"/>
        <v>Eligible</v>
      </c>
    </row>
    <row r="13" spans="1:4" x14ac:dyDescent="0.25">
      <c r="A13" t="s">
        <v>73</v>
      </c>
      <c r="B13">
        <v>24</v>
      </c>
      <c r="C13">
        <v>0</v>
      </c>
      <c r="D13" t="str">
        <f t="shared" si="0"/>
        <v>Not Eligible</v>
      </c>
    </row>
    <row r="14" spans="1:4" x14ac:dyDescent="0.25">
      <c r="A14" t="s">
        <v>74</v>
      </c>
      <c r="B14">
        <v>27</v>
      </c>
      <c r="C14">
        <v>1</v>
      </c>
      <c r="D14" t="str">
        <f t="shared" si="0"/>
        <v>Eligible</v>
      </c>
    </row>
    <row r="15" spans="1:4" x14ac:dyDescent="0.25">
      <c r="A15" t="s">
        <v>75</v>
      </c>
      <c r="B15">
        <v>26</v>
      </c>
      <c r="C15">
        <v>3</v>
      </c>
      <c r="D15" t="str">
        <f t="shared" si="0"/>
        <v>Eligible</v>
      </c>
    </row>
    <row r="16" spans="1:4" x14ac:dyDescent="0.25">
      <c r="A16" t="s">
        <v>76</v>
      </c>
      <c r="B16">
        <v>23</v>
      </c>
      <c r="C16">
        <v>0</v>
      </c>
      <c r="D16" t="str">
        <f t="shared" si="0"/>
        <v>Not Eligible</v>
      </c>
    </row>
    <row r="17" spans="1:4" x14ac:dyDescent="0.25">
      <c r="A17" t="s">
        <v>77</v>
      </c>
      <c r="B17">
        <v>26</v>
      </c>
      <c r="C17">
        <v>0</v>
      </c>
      <c r="D17" t="str">
        <f t="shared" si="0"/>
        <v>Not Eligible</v>
      </c>
    </row>
    <row r="18" spans="1:4" x14ac:dyDescent="0.25">
      <c r="A18" t="s">
        <v>78</v>
      </c>
      <c r="B18">
        <v>30</v>
      </c>
      <c r="C18">
        <v>0</v>
      </c>
      <c r="D18" t="str">
        <f t="shared" si="0"/>
        <v>Not Eligible</v>
      </c>
    </row>
    <row r="19" spans="1:4" x14ac:dyDescent="0.25">
      <c r="A19" t="s">
        <v>79</v>
      </c>
      <c r="B19">
        <v>24</v>
      </c>
      <c r="C19">
        <v>2</v>
      </c>
      <c r="D19" t="str">
        <f t="shared" si="0"/>
        <v>Eligible</v>
      </c>
    </row>
    <row r="20" spans="1:4" x14ac:dyDescent="0.25">
      <c r="A20" t="s">
        <v>80</v>
      </c>
      <c r="B20">
        <v>30</v>
      </c>
      <c r="C20">
        <v>2</v>
      </c>
      <c r="D20" t="str">
        <f t="shared" si="0"/>
        <v>Eligible</v>
      </c>
    </row>
    <row r="21" spans="1:4" x14ac:dyDescent="0.25">
      <c r="A21" t="s">
        <v>81</v>
      </c>
      <c r="B21">
        <v>29</v>
      </c>
      <c r="C21">
        <v>0</v>
      </c>
      <c r="D21" t="str">
        <f t="shared" si="0"/>
        <v>Not Eligible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0A994-4618-4F93-AB07-2E967A7501BC}">
  <dimension ref="A1:D21"/>
  <sheetViews>
    <sheetView workbookViewId="0">
      <selection sqref="A1:XFD1"/>
    </sheetView>
  </sheetViews>
  <sheetFormatPr defaultRowHeight="15" x14ac:dyDescent="0.25"/>
  <cols>
    <col min="1" max="1" width="13.85546875" bestFit="1" customWidth="1"/>
    <col min="2" max="2" width="13.42578125" bestFit="1" customWidth="1"/>
    <col min="3" max="3" width="21.5703125" bestFit="1" customWidth="1"/>
    <col min="4" max="4" width="11.28515625" bestFit="1" customWidth="1"/>
  </cols>
  <sheetData>
    <row r="1" spans="1:4" s="41" customFormat="1" x14ac:dyDescent="0.25">
      <c r="A1" s="41" t="s">
        <v>60</v>
      </c>
      <c r="B1" s="41" t="s">
        <v>173</v>
      </c>
      <c r="C1" s="41" t="s">
        <v>184</v>
      </c>
      <c r="D1" s="41" t="s">
        <v>183</v>
      </c>
    </row>
    <row r="2" spans="1:4" x14ac:dyDescent="0.25">
      <c r="A2" t="s">
        <v>114</v>
      </c>
      <c r="B2">
        <v>85</v>
      </c>
      <c r="C2" t="s">
        <v>185</v>
      </c>
      <c r="D2" t="str">
        <f>IF(AND(B2&gt;=75, C2="Yes"), "Eligible", "Not Eligible")</f>
        <v>Eligible</v>
      </c>
    </row>
    <row r="3" spans="1:4" x14ac:dyDescent="0.25">
      <c r="A3" t="s">
        <v>158</v>
      </c>
      <c r="B3">
        <v>72</v>
      </c>
      <c r="C3" t="s">
        <v>185</v>
      </c>
      <c r="D3" t="str">
        <f t="shared" ref="D3:D21" si="0">IF(AND(B3&gt;=75, C3="Yes"), "Eligible", "Not Eligible")</f>
        <v>Not Eligible</v>
      </c>
    </row>
    <row r="4" spans="1:4" x14ac:dyDescent="0.25">
      <c r="A4" t="s">
        <v>54</v>
      </c>
      <c r="B4">
        <v>90</v>
      </c>
      <c r="C4" t="s">
        <v>186</v>
      </c>
      <c r="D4" t="str">
        <f t="shared" si="0"/>
        <v>Not Eligible</v>
      </c>
    </row>
    <row r="5" spans="1:4" x14ac:dyDescent="0.25">
      <c r="A5" t="s">
        <v>160</v>
      </c>
      <c r="B5">
        <v>80</v>
      </c>
      <c r="C5" t="s">
        <v>185</v>
      </c>
      <c r="D5" t="str">
        <f t="shared" si="0"/>
        <v>Eligible</v>
      </c>
    </row>
    <row r="6" spans="1:4" x14ac:dyDescent="0.25">
      <c r="A6" t="s">
        <v>161</v>
      </c>
      <c r="B6">
        <v>81</v>
      </c>
      <c r="C6" t="s">
        <v>186</v>
      </c>
      <c r="D6" t="str">
        <f t="shared" si="0"/>
        <v>Not Eligible</v>
      </c>
    </row>
    <row r="7" spans="1:4" x14ac:dyDescent="0.25">
      <c r="A7" t="s">
        <v>166</v>
      </c>
      <c r="B7">
        <v>72</v>
      </c>
      <c r="C7" t="s">
        <v>186</v>
      </c>
      <c r="D7" t="str">
        <f t="shared" si="0"/>
        <v>Not Eligible</v>
      </c>
    </row>
    <row r="8" spans="1:4" x14ac:dyDescent="0.25">
      <c r="A8" t="s">
        <v>57</v>
      </c>
      <c r="B8">
        <v>84</v>
      </c>
      <c r="C8" t="s">
        <v>186</v>
      </c>
      <c r="D8" t="str">
        <f t="shared" si="0"/>
        <v>Not Eligible</v>
      </c>
    </row>
    <row r="9" spans="1:4" x14ac:dyDescent="0.25">
      <c r="A9" t="s">
        <v>69</v>
      </c>
      <c r="B9">
        <v>82</v>
      </c>
      <c r="C9" t="s">
        <v>186</v>
      </c>
      <c r="D9" t="str">
        <f t="shared" si="0"/>
        <v>Not Eligible</v>
      </c>
    </row>
    <row r="10" spans="1:4" x14ac:dyDescent="0.25">
      <c r="A10" t="s">
        <v>70</v>
      </c>
      <c r="B10">
        <v>70</v>
      </c>
      <c r="C10" t="s">
        <v>185</v>
      </c>
      <c r="D10" t="str">
        <f t="shared" si="0"/>
        <v>Not Eligible</v>
      </c>
    </row>
    <row r="11" spans="1:4" x14ac:dyDescent="0.25">
      <c r="A11" t="s">
        <v>71</v>
      </c>
      <c r="B11">
        <v>78</v>
      </c>
      <c r="C11" t="s">
        <v>185</v>
      </c>
      <c r="D11" t="str">
        <f t="shared" si="0"/>
        <v>Eligible</v>
      </c>
    </row>
    <row r="12" spans="1:4" x14ac:dyDescent="0.25">
      <c r="A12" t="s">
        <v>72</v>
      </c>
      <c r="B12">
        <v>78</v>
      </c>
      <c r="C12" t="s">
        <v>186</v>
      </c>
      <c r="D12" t="str">
        <f t="shared" si="0"/>
        <v>Not Eligible</v>
      </c>
    </row>
    <row r="13" spans="1:4" x14ac:dyDescent="0.25">
      <c r="A13" t="s">
        <v>73</v>
      </c>
      <c r="B13">
        <v>84</v>
      </c>
      <c r="C13" t="s">
        <v>185</v>
      </c>
      <c r="D13" t="str">
        <f t="shared" si="0"/>
        <v>Eligible</v>
      </c>
    </row>
    <row r="14" spans="1:4" x14ac:dyDescent="0.25">
      <c r="A14" t="s">
        <v>74</v>
      </c>
      <c r="B14">
        <v>73</v>
      </c>
      <c r="C14" t="s">
        <v>186</v>
      </c>
      <c r="D14" t="str">
        <f t="shared" si="0"/>
        <v>Not Eligible</v>
      </c>
    </row>
    <row r="15" spans="1:4" x14ac:dyDescent="0.25">
      <c r="A15" t="s">
        <v>75</v>
      </c>
      <c r="B15">
        <v>73</v>
      </c>
      <c r="C15" t="s">
        <v>185</v>
      </c>
      <c r="D15" t="str">
        <f t="shared" si="0"/>
        <v>Not Eligible</v>
      </c>
    </row>
    <row r="16" spans="1:4" x14ac:dyDescent="0.25">
      <c r="A16" t="s">
        <v>76</v>
      </c>
      <c r="B16">
        <v>81</v>
      </c>
      <c r="C16" t="s">
        <v>186</v>
      </c>
      <c r="D16" t="str">
        <f t="shared" si="0"/>
        <v>Not Eligible</v>
      </c>
    </row>
    <row r="17" spans="1:4" x14ac:dyDescent="0.25">
      <c r="A17" t="s">
        <v>77</v>
      </c>
      <c r="B17">
        <v>81</v>
      </c>
      <c r="C17" t="s">
        <v>186</v>
      </c>
      <c r="D17" t="str">
        <f t="shared" si="0"/>
        <v>Not Eligible</v>
      </c>
    </row>
    <row r="18" spans="1:4" x14ac:dyDescent="0.25">
      <c r="A18" t="s">
        <v>78</v>
      </c>
      <c r="B18">
        <v>87</v>
      </c>
      <c r="C18" t="s">
        <v>186</v>
      </c>
      <c r="D18" t="str">
        <f t="shared" si="0"/>
        <v>Not Eligible</v>
      </c>
    </row>
    <row r="19" spans="1:4" x14ac:dyDescent="0.25">
      <c r="A19" t="s">
        <v>79</v>
      </c>
      <c r="B19">
        <v>89</v>
      </c>
      <c r="C19" t="s">
        <v>186</v>
      </c>
      <c r="D19" t="str">
        <f t="shared" si="0"/>
        <v>Not Eligible</v>
      </c>
    </row>
    <row r="20" spans="1:4" x14ac:dyDescent="0.25">
      <c r="A20" t="s">
        <v>80</v>
      </c>
      <c r="B20">
        <v>89</v>
      </c>
      <c r="C20" t="s">
        <v>186</v>
      </c>
      <c r="D20" t="str">
        <f t="shared" si="0"/>
        <v>Not Eligible</v>
      </c>
    </row>
    <row r="21" spans="1:4" x14ac:dyDescent="0.25">
      <c r="A21" t="s">
        <v>81</v>
      </c>
      <c r="B21">
        <v>87</v>
      </c>
      <c r="C21" t="s">
        <v>186</v>
      </c>
      <c r="D21" t="str">
        <f t="shared" si="0"/>
        <v>Not Eligible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F655-E5F1-4424-A787-2B12F8170C2B}">
  <dimension ref="A1:D21"/>
  <sheetViews>
    <sheetView workbookViewId="0">
      <selection sqref="A1:XFD1"/>
    </sheetView>
  </sheetViews>
  <sheetFormatPr defaultRowHeight="15" x14ac:dyDescent="0.25"/>
  <cols>
    <col min="1" max="1" width="15.42578125" bestFit="1" customWidth="1"/>
    <col min="2" max="2" width="16.7109375" bestFit="1" customWidth="1"/>
    <col min="3" max="3" width="12.28515625" bestFit="1" customWidth="1"/>
    <col min="4" max="4" width="11.7109375" bestFit="1" customWidth="1"/>
  </cols>
  <sheetData>
    <row r="1" spans="1:4" s="41" customFormat="1" x14ac:dyDescent="0.25">
      <c r="A1" s="41" t="s">
        <v>187</v>
      </c>
      <c r="B1" s="41" t="s">
        <v>188</v>
      </c>
      <c r="C1" s="41" t="s">
        <v>189</v>
      </c>
      <c r="D1" s="41" t="s">
        <v>190</v>
      </c>
    </row>
    <row r="2" spans="1:4" x14ac:dyDescent="0.25">
      <c r="A2" t="s">
        <v>56</v>
      </c>
      <c r="B2">
        <v>9000</v>
      </c>
      <c r="C2" t="s">
        <v>186</v>
      </c>
      <c r="D2" t="str">
        <f>IF(OR(B2&gt;=10000, C2="Yes"), "Discount", "No Discount")</f>
        <v>No Discount</v>
      </c>
    </row>
    <row r="3" spans="1:4" x14ac:dyDescent="0.25">
      <c r="A3" t="s">
        <v>191</v>
      </c>
      <c r="B3">
        <v>12000</v>
      </c>
      <c r="C3" t="s">
        <v>186</v>
      </c>
      <c r="D3" t="str">
        <f t="shared" ref="D3:D21" si="0">IF(OR(B3&gt;=10000, C3="Yes"), "Discount", "No Discount")</f>
        <v>Discount</v>
      </c>
    </row>
    <row r="4" spans="1:4" x14ac:dyDescent="0.25">
      <c r="A4" t="s">
        <v>54</v>
      </c>
      <c r="B4">
        <v>4000</v>
      </c>
      <c r="C4" t="s">
        <v>185</v>
      </c>
      <c r="D4" t="str">
        <f t="shared" si="0"/>
        <v>Discount</v>
      </c>
    </row>
    <row r="5" spans="1:4" x14ac:dyDescent="0.25">
      <c r="A5" t="s">
        <v>67</v>
      </c>
      <c r="B5">
        <v>3000</v>
      </c>
      <c r="C5" t="s">
        <v>186</v>
      </c>
      <c r="D5" t="str">
        <f t="shared" si="0"/>
        <v>No Discount</v>
      </c>
    </row>
    <row r="6" spans="1:4" x14ac:dyDescent="0.25">
      <c r="A6" t="s">
        <v>161</v>
      </c>
      <c r="B6">
        <v>11838</v>
      </c>
      <c r="C6" t="s">
        <v>186</v>
      </c>
      <c r="D6" t="str">
        <f t="shared" si="0"/>
        <v>Discount</v>
      </c>
    </row>
    <row r="7" spans="1:4" x14ac:dyDescent="0.25">
      <c r="A7" t="s">
        <v>166</v>
      </c>
      <c r="B7">
        <v>6491</v>
      </c>
      <c r="C7" t="s">
        <v>185</v>
      </c>
      <c r="D7" t="str">
        <f t="shared" si="0"/>
        <v>Discount</v>
      </c>
    </row>
    <row r="8" spans="1:4" x14ac:dyDescent="0.25">
      <c r="A8" t="s">
        <v>57</v>
      </c>
      <c r="B8">
        <v>4308</v>
      </c>
      <c r="C8" t="s">
        <v>185</v>
      </c>
      <c r="D8" t="str">
        <f t="shared" si="0"/>
        <v>Discount</v>
      </c>
    </row>
    <row r="9" spans="1:4" x14ac:dyDescent="0.25">
      <c r="A9" t="s">
        <v>69</v>
      </c>
      <c r="B9">
        <v>8119</v>
      </c>
      <c r="C9" t="s">
        <v>185</v>
      </c>
      <c r="D9" t="str">
        <f t="shared" si="0"/>
        <v>Discount</v>
      </c>
    </row>
    <row r="10" spans="1:4" x14ac:dyDescent="0.25">
      <c r="A10" t="s">
        <v>70</v>
      </c>
      <c r="B10">
        <v>9546</v>
      </c>
      <c r="C10" t="s">
        <v>186</v>
      </c>
      <c r="D10" t="str">
        <f t="shared" si="0"/>
        <v>No Discount</v>
      </c>
    </row>
    <row r="11" spans="1:4" x14ac:dyDescent="0.25">
      <c r="A11" t="s">
        <v>71</v>
      </c>
      <c r="B11">
        <v>3763</v>
      </c>
      <c r="C11" t="s">
        <v>185</v>
      </c>
      <c r="D11" t="str">
        <f t="shared" si="0"/>
        <v>Discount</v>
      </c>
    </row>
    <row r="12" spans="1:4" x14ac:dyDescent="0.25">
      <c r="A12" t="s">
        <v>72</v>
      </c>
      <c r="B12">
        <v>8210</v>
      </c>
      <c r="C12" t="s">
        <v>186</v>
      </c>
      <c r="D12" t="str">
        <f t="shared" si="0"/>
        <v>No Discount</v>
      </c>
    </row>
    <row r="13" spans="1:4" x14ac:dyDescent="0.25">
      <c r="A13" t="s">
        <v>73</v>
      </c>
      <c r="B13">
        <v>8517</v>
      </c>
      <c r="C13" t="s">
        <v>186</v>
      </c>
      <c r="D13" t="str">
        <f t="shared" si="0"/>
        <v>No Discount</v>
      </c>
    </row>
    <row r="14" spans="1:4" x14ac:dyDescent="0.25">
      <c r="A14" t="s">
        <v>74</v>
      </c>
      <c r="B14">
        <v>8472</v>
      </c>
      <c r="C14" t="s">
        <v>186</v>
      </c>
      <c r="D14" t="str">
        <f t="shared" si="0"/>
        <v>No Discount</v>
      </c>
    </row>
    <row r="15" spans="1:4" x14ac:dyDescent="0.25">
      <c r="A15" t="s">
        <v>75</v>
      </c>
      <c r="B15">
        <v>8314</v>
      </c>
      <c r="C15" t="s">
        <v>186</v>
      </c>
      <c r="D15" t="str">
        <f t="shared" si="0"/>
        <v>No Discount</v>
      </c>
    </row>
    <row r="16" spans="1:4" x14ac:dyDescent="0.25">
      <c r="A16" t="s">
        <v>76</v>
      </c>
      <c r="B16">
        <v>3615</v>
      </c>
      <c r="C16" t="s">
        <v>185</v>
      </c>
      <c r="D16" t="str">
        <f t="shared" si="0"/>
        <v>Discount</v>
      </c>
    </row>
    <row r="17" spans="1:4" x14ac:dyDescent="0.25">
      <c r="A17" t="s">
        <v>77</v>
      </c>
      <c r="B17">
        <v>8338</v>
      </c>
      <c r="C17" t="s">
        <v>185</v>
      </c>
      <c r="D17" t="str">
        <f t="shared" si="0"/>
        <v>Discount</v>
      </c>
    </row>
    <row r="18" spans="1:4" x14ac:dyDescent="0.25">
      <c r="A18" t="s">
        <v>78</v>
      </c>
      <c r="B18">
        <v>9139</v>
      </c>
      <c r="C18" t="s">
        <v>185</v>
      </c>
      <c r="D18" t="str">
        <f t="shared" si="0"/>
        <v>Discount</v>
      </c>
    </row>
    <row r="19" spans="1:4" x14ac:dyDescent="0.25">
      <c r="A19" t="s">
        <v>79</v>
      </c>
      <c r="B19">
        <v>11122</v>
      </c>
      <c r="C19" t="s">
        <v>185</v>
      </c>
      <c r="D19" t="str">
        <f t="shared" si="0"/>
        <v>Discount</v>
      </c>
    </row>
    <row r="20" spans="1:4" x14ac:dyDescent="0.25">
      <c r="A20" t="s">
        <v>80</v>
      </c>
      <c r="B20">
        <v>7799</v>
      </c>
      <c r="C20" t="s">
        <v>185</v>
      </c>
      <c r="D20" t="str">
        <f t="shared" si="0"/>
        <v>Discount</v>
      </c>
    </row>
    <row r="21" spans="1:4" x14ac:dyDescent="0.25">
      <c r="A21" t="s">
        <v>81</v>
      </c>
      <c r="B21">
        <v>7205</v>
      </c>
      <c r="C21" t="s">
        <v>185</v>
      </c>
      <c r="D21" t="str">
        <f t="shared" si="0"/>
        <v>Discount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5FC6-62BF-4EC7-A720-ECCA9E3ACC83}">
  <dimension ref="A1:D21"/>
  <sheetViews>
    <sheetView workbookViewId="0">
      <selection sqref="A1:XFD1"/>
    </sheetView>
  </sheetViews>
  <sheetFormatPr defaultRowHeight="15" x14ac:dyDescent="0.25"/>
  <cols>
    <col min="1" max="1" width="9.42578125" bestFit="1" customWidth="1"/>
    <col min="2" max="2" width="6.28515625" bestFit="1" customWidth="1"/>
    <col min="3" max="3" width="10.5703125" bestFit="1" customWidth="1"/>
    <col min="4" max="4" width="13.5703125" bestFit="1" customWidth="1"/>
  </cols>
  <sheetData>
    <row r="1" spans="1:4" s="41" customFormat="1" x14ac:dyDescent="0.25">
      <c r="A1" s="41" t="s">
        <v>192</v>
      </c>
      <c r="B1" s="41" t="s">
        <v>3</v>
      </c>
      <c r="C1" s="41" t="s">
        <v>193</v>
      </c>
      <c r="D1" s="41" t="s">
        <v>194</v>
      </c>
    </row>
    <row r="2" spans="1:4" x14ac:dyDescent="0.25">
      <c r="A2" t="s">
        <v>162</v>
      </c>
      <c r="B2">
        <v>35000</v>
      </c>
      <c r="C2">
        <v>720</v>
      </c>
      <c r="D2" t="str">
        <f>IF(OR(B2&gt;=40000, C2&gt;=700), "Approved", "Not Approved")</f>
        <v>Approved</v>
      </c>
    </row>
    <row r="3" spans="1:4" x14ac:dyDescent="0.25">
      <c r="A3" t="s">
        <v>163</v>
      </c>
      <c r="B3">
        <v>25000</v>
      </c>
      <c r="C3">
        <v>680</v>
      </c>
      <c r="D3" t="str">
        <f t="shared" ref="D3:D21" si="0">IF(OR(B3&gt;=40000, C3&gt;=700), "Approved", "Not Approved")</f>
        <v>Not Approved</v>
      </c>
    </row>
    <row r="4" spans="1:4" x14ac:dyDescent="0.25">
      <c r="A4" t="s">
        <v>164</v>
      </c>
      <c r="B4">
        <v>50000</v>
      </c>
      <c r="C4">
        <v>650</v>
      </c>
      <c r="D4" t="str">
        <f t="shared" si="0"/>
        <v>Approved</v>
      </c>
    </row>
    <row r="5" spans="1:4" x14ac:dyDescent="0.25">
      <c r="A5" t="s">
        <v>165</v>
      </c>
      <c r="B5">
        <v>20000</v>
      </c>
      <c r="C5">
        <v>600</v>
      </c>
      <c r="D5" t="str">
        <f t="shared" si="0"/>
        <v>Not Approved</v>
      </c>
    </row>
    <row r="6" spans="1:4" x14ac:dyDescent="0.25">
      <c r="A6" t="s">
        <v>161</v>
      </c>
      <c r="B6">
        <v>35860</v>
      </c>
      <c r="C6">
        <v>675</v>
      </c>
      <c r="D6" t="str">
        <f t="shared" si="0"/>
        <v>Not Approved</v>
      </c>
    </row>
    <row r="7" spans="1:4" x14ac:dyDescent="0.25">
      <c r="A7" t="s">
        <v>166</v>
      </c>
      <c r="B7">
        <v>49309</v>
      </c>
      <c r="C7">
        <v>701</v>
      </c>
      <c r="D7" t="str">
        <f t="shared" si="0"/>
        <v>Approved</v>
      </c>
    </row>
    <row r="8" spans="1:4" x14ac:dyDescent="0.25">
      <c r="A8" t="s">
        <v>57</v>
      </c>
      <c r="B8">
        <v>22835</v>
      </c>
      <c r="C8">
        <v>671</v>
      </c>
      <c r="D8" t="str">
        <f t="shared" si="0"/>
        <v>Not Approved</v>
      </c>
    </row>
    <row r="9" spans="1:4" x14ac:dyDescent="0.25">
      <c r="A9" t="s">
        <v>69</v>
      </c>
      <c r="B9">
        <v>31169</v>
      </c>
      <c r="C9">
        <v>699</v>
      </c>
      <c r="D9" t="str">
        <f t="shared" si="0"/>
        <v>Not Approved</v>
      </c>
    </row>
    <row r="10" spans="1:4" x14ac:dyDescent="0.25">
      <c r="A10" t="s">
        <v>70</v>
      </c>
      <c r="B10">
        <v>30828</v>
      </c>
      <c r="C10">
        <v>646</v>
      </c>
      <c r="D10" t="str">
        <f t="shared" si="0"/>
        <v>Not Approved</v>
      </c>
    </row>
    <row r="11" spans="1:4" x14ac:dyDescent="0.25">
      <c r="A11" t="s">
        <v>71</v>
      </c>
      <c r="B11">
        <v>43805</v>
      </c>
      <c r="C11">
        <v>616</v>
      </c>
      <c r="D11" t="str">
        <f t="shared" si="0"/>
        <v>Approved</v>
      </c>
    </row>
    <row r="12" spans="1:4" x14ac:dyDescent="0.25">
      <c r="A12" t="s">
        <v>72</v>
      </c>
      <c r="B12">
        <v>24650</v>
      </c>
      <c r="C12">
        <v>636</v>
      </c>
      <c r="D12" t="str">
        <f t="shared" si="0"/>
        <v>Not Approved</v>
      </c>
    </row>
    <row r="13" spans="1:4" x14ac:dyDescent="0.25">
      <c r="A13" t="s">
        <v>73</v>
      </c>
      <c r="B13">
        <v>47816</v>
      </c>
      <c r="C13">
        <v>668</v>
      </c>
      <c r="D13" t="str">
        <f t="shared" si="0"/>
        <v>Approved</v>
      </c>
    </row>
    <row r="14" spans="1:4" x14ac:dyDescent="0.25">
      <c r="A14" t="s">
        <v>74</v>
      </c>
      <c r="B14">
        <v>30579</v>
      </c>
      <c r="C14">
        <v>612</v>
      </c>
      <c r="D14" t="str">
        <f t="shared" si="0"/>
        <v>Not Approved</v>
      </c>
    </row>
    <row r="15" spans="1:4" x14ac:dyDescent="0.25">
      <c r="A15" t="s">
        <v>75</v>
      </c>
      <c r="B15">
        <v>41897</v>
      </c>
      <c r="C15">
        <v>707</v>
      </c>
      <c r="D15" t="str">
        <f t="shared" si="0"/>
        <v>Approved</v>
      </c>
    </row>
    <row r="16" spans="1:4" x14ac:dyDescent="0.25">
      <c r="A16" t="s">
        <v>76</v>
      </c>
      <c r="B16">
        <v>30387</v>
      </c>
      <c r="C16">
        <v>612</v>
      </c>
      <c r="D16" t="str">
        <f t="shared" si="0"/>
        <v>Not Approved</v>
      </c>
    </row>
    <row r="17" spans="1:4" x14ac:dyDescent="0.25">
      <c r="A17" t="s">
        <v>77</v>
      </c>
      <c r="B17">
        <v>42079</v>
      </c>
      <c r="C17">
        <v>691</v>
      </c>
      <c r="D17" t="str">
        <f t="shared" si="0"/>
        <v>Approved</v>
      </c>
    </row>
    <row r="18" spans="1:4" x14ac:dyDescent="0.25">
      <c r="A18" t="s">
        <v>78</v>
      </c>
      <c r="B18">
        <v>35940</v>
      </c>
      <c r="C18">
        <v>647</v>
      </c>
      <c r="D18" t="str">
        <f t="shared" si="0"/>
        <v>Not Approved</v>
      </c>
    </row>
    <row r="19" spans="1:4" x14ac:dyDescent="0.25">
      <c r="A19" t="s">
        <v>79</v>
      </c>
      <c r="B19">
        <v>28281</v>
      </c>
      <c r="C19">
        <v>702</v>
      </c>
      <c r="D19" t="str">
        <f t="shared" si="0"/>
        <v>Approved</v>
      </c>
    </row>
    <row r="20" spans="1:4" x14ac:dyDescent="0.25">
      <c r="A20" t="s">
        <v>80</v>
      </c>
      <c r="B20">
        <v>30942</v>
      </c>
      <c r="C20">
        <v>624</v>
      </c>
      <c r="D20" t="str">
        <f t="shared" si="0"/>
        <v>Not Approved</v>
      </c>
    </row>
    <row r="21" spans="1:4" x14ac:dyDescent="0.25">
      <c r="A21" t="s">
        <v>81</v>
      </c>
      <c r="B21">
        <v>38944</v>
      </c>
      <c r="C21">
        <v>709</v>
      </c>
      <c r="D21" t="str">
        <f t="shared" si="0"/>
        <v>Approved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1CBDC-4B45-4717-9EBF-238AEF6BF24D}">
  <dimension ref="A1:C21"/>
  <sheetViews>
    <sheetView workbookViewId="0">
      <selection sqref="A1:XFD1"/>
    </sheetView>
  </sheetViews>
  <sheetFormatPr defaultRowHeight="15" x14ac:dyDescent="0.25"/>
  <cols>
    <col min="3" max="3" width="7.85546875" bestFit="1" customWidth="1"/>
  </cols>
  <sheetData>
    <row r="1" spans="1:3" s="41" customFormat="1" x14ac:dyDescent="0.25">
      <c r="A1" s="41" t="s">
        <v>1</v>
      </c>
      <c r="B1" s="41" t="s">
        <v>195</v>
      </c>
      <c r="C1" s="41" t="s">
        <v>196</v>
      </c>
    </row>
    <row r="2" spans="1:3" x14ac:dyDescent="0.25">
      <c r="A2" t="s">
        <v>114</v>
      </c>
      <c r="B2" t="b">
        <v>1</v>
      </c>
      <c r="C2" t="str">
        <f>IF(NOT(B2), "Absent", "Present")</f>
        <v>Present</v>
      </c>
    </row>
    <row r="3" spans="1:3" x14ac:dyDescent="0.25">
      <c r="A3" t="s">
        <v>158</v>
      </c>
      <c r="B3" t="b">
        <v>0</v>
      </c>
      <c r="C3" t="str">
        <f t="shared" ref="C3:C21" si="0">IF(NOT(B3), "Absent", "Present")</f>
        <v>Absent</v>
      </c>
    </row>
    <row r="4" spans="1:3" x14ac:dyDescent="0.25">
      <c r="A4" t="s">
        <v>54</v>
      </c>
      <c r="B4" t="b">
        <v>1</v>
      </c>
      <c r="C4" t="str">
        <f t="shared" si="0"/>
        <v>Present</v>
      </c>
    </row>
    <row r="5" spans="1:3" x14ac:dyDescent="0.25">
      <c r="A5" t="s">
        <v>160</v>
      </c>
      <c r="B5" t="b">
        <v>0</v>
      </c>
      <c r="C5" t="str">
        <f t="shared" si="0"/>
        <v>Absent</v>
      </c>
    </row>
    <row r="6" spans="1:3" x14ac:dyDescent="0.25">
      <c r="A6" t="s">
        <v>161</v>
      </c>
      <c r="B6" t="b">
        <v>1</v>
      </c>
      <c r="C6" t="str">
        <f t="shared" si="0"/>
        <v>Present</v>
      </c>
    </row>
    <row r="7" spans="1:3" x14ac:dyDescent="0.25">
      <c r="A7" t="s">
        <v>166</v>
      </c>
      <c r="B7" t="b">
        <v>1</v>
      </c>
      <c r="C7" t="str">
        <f t="shared" si="0"/>
        <v>Present</v>
      </c>
    </row>
    <row r="8" spans="1:3" x14ac:dyDescent="0.25">
      <c r="A8" t="s">
        <v>57</v>
      </c>
      <c r="B8" t="b">
        <v>1</v>
      </c>
      <c r="C8" t="str">
        <f t="shared" si="0"/>
        <v>Present</v>
      </c>
    </row>
    <row r="9" spans="1:3" x14ac:dyDescent="0.25">
      <c r="A9" t="s">
        <v>69</v>
      </c>
      <c r="B9" t="b">
        <v>0</v>
      </c>
      <c r="C9" t="str">
        <f t="shared" si="0"/>
        <v>Absent</v>
      </c>
    </row>
    <row r="10" spans="1:3" x14ac:dyDescent="0.25">
      <c r="A10" t="s">
        <v>70</v>
      </c>
      <c r="B10" t="b">
        <v>1</v>
      </c>
      <c r="C10" t="str">
        <f t="shared" si="0"/>
        <v>Present</v>
      </c>
    </row>
    <row r="11" spans="1:3" x14ac:dyDescent="0.25">
      <c r="A11" t="s">
        <v>71</v>
      </c>
      <c r="B11" t="b">
        <v>0</v>
      </c>
      <c r="C11" t="str">
        <f t="shared" si="0"/>
        <v>Absent</v>
      </c>
    </row>
    <row r="12" spans="1:3" x14ac:dyDescent="0.25">
      <c r="A12" t="s">
        <v>72</v>
      </c>
      <c r="B12" t="b">
        <v>1</v>
      </c>
      <c r="C12" t="str">
        <f t="shared" si="0"/>
        <v>Present</v>
      </c>
    </row>
    <row r="13" spans="1:3" x14ac:dyDescent="0.25">
      <c r="A13" t="s">
        <v>73</v>
      </c>
      <c r="B13" t="b">
        <v>0</v>
      </c>
      <c r="C13" t="str">
        <f t="shared" si="0"/>
        <v>Absent</v>
      </c>
    </row>
    <row r="14" spans="1:3" x14ac:dyDescent="0.25">
      <c r="A14" t="s">
        <v>74</v>
      </c>
      <c r="B14" t="b">
        <v>1</v>
      </c>
      <c r="C14" t="str">
        <f t="shared" si="0"/>
        <v>Present</v>
      </c>
    </row>
    <row r="15" spans="1:3" x14ac:dyDescent="0.25">
      <c r="A15" t="s">
        <v>75</v>
      </c>
      <c r="B15" t="b">
        <v>0</v>
      </c>
      <c r="C15" t="str">
        <f t="shared" si="0"/>
        <v>Absent</v>
      </c>
    </row>
    <row r="16" spans="1:3" x14ac:dyDescent="0.25">
      <c r="A16" t="s">
        <v>76</v>
      </c>
      <c r="B16" t="b">
        <v>1</v>
      </c>
      <c r="C16" t="str">
        <f t="shared" si="0"/>
        <v>Present</v>
      </c>
    </row>
    <row r="17" spans="1:3" x14ac:dyDescent="0.25">
      <c r="A17" t="s">
        <v>77</v>
      </c>
      <c r="B17" t="b">
        <v>0</v>
      </c>
      <c r="C17" t="str">
        <f t="shared" si="0"/>
        <v>Absent</v>
      </c>
    </row>
    <row r="18" spans="1:3" x14ac:dyDescent="0.25">
      <c r="A18" t="s">
        <v>78</v>
      </c>
      <c r="B18" t="b">
        <v>1</v>
      </c>
      <c r="C18" t="str">
        <f t="shared" si="0"/>
        <v>Present</v>
      </c>
    </row>
    <row r="19" spans="1:3" x14ac:dyDescent="0.25">
      <c r="A19" t="s">
        <v>79</v>
      </c>
      <c r="B19" t="b">
        <v>0</v>
      </c>
      <c r="C19" t="str">
        <f t="shared" si="0"/>
        <v>Absent</v>
      </c>
    </row>
    <row r="20" spans="1:3" x14ac:dyDescent="0.25">
      <c r="A20" t="s">
        <v>80</v>
      </c>
      <c r="B20" t="b">
        <v>1</v>
      </c>
      <c r="C20" t="str">
        <f t="shared" si="0"/>
        <v>Present</v>
      </c>
    </row>
    <row r="21" spans="1:3" x14ac:dyDescent="0.25">
      <c r="A21" t="s">
        <v>81</v>
      </c>
      <c r="B21" t="b">
        <v>1</v>
      </c>
      <c r="C21" t="str">
        <f t="shared" si="0"/>
        <v>Present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0D90-1958-40E5-BE49-DCBE65794237}">
  <dimension ref="A1:C21"/>
  <sheetViews>
    <sheetView workbookViewId="0">
      <selection sqref="A1:XFD1"/>
    </sheetView>
  </sheetViews>
  <sheetFormatPr defaultRowHeight="15" x14ac:dyDescent="0.25"/>
  <cols>
    <col min="1" max="2" width="9.7109375" bestFit="1" customWidth="1"/>
    <col min="3" max="3" width="7" bestFit="1" customWidth="1"/>
  </cols>
  <sheetData>
    <row r="1" spans="1:3" s="41" customFormat="1" x14ac:dyDescent="0.25">
      <c r="A1" s="41" t="s">
        <v>197</v>
      </c>
      <c r="B1" s="41" t="s">
        <v>198</v>
      </c>
      <c r="C1" s="41" t="s">
        <v>178</v>
      </c>
    </row>
    <row r="2" spans="1:3" x14ac:dyDescent="0.25">
      <c r="A2">
        <v>10</v>
      </c>
      <c r="B2">
        <v>2</v>
      </c>
      <c r="C2">
        <f>IFERROR(A2/B2, "Invalid")</f>
        <v>5</v>
      </c>
    </row>
    <row r="3" spans="1:3" x14ac:dyDescent="0.25">
      <c r="A3">
        <v>15</v>
      </c>
      <c r="B3">
        <v>0</v>
      </c>
      <c r="C3" t="str">
        <f t="shared" ref="C3:C21" si="0">IFERROR(A3/B3, "Invalid")</f>
        <v>Invalid</v>
      </c>
    </row>
    <row r="4" spans="1:3" x14ac:dyDescent="0.25">
      <c r="A4">
        <v>20</v>
      </c>
      <c r="B4">
        <v>5</v>
      </c>
      <c r="C4">
        <f t="shared" si="0"/>
        <v>4</v>
      </c>
    </row>
    <row r="5" spans="1:3" x14ac:dyDescent="0.25">
      <c r="A5">
        <v>8</v>
      </c>
      <c r="B5">
        <v>0</v>
      </c>
      <c r="C5" t="str">
        <f t="shared" si="0"/>
        <v>Invalid</v>
      </c>
    </row>
    <row r="6" spans="1:3" x14ac:dyDescent="0.25">
      <c r="A6">
        <v>11</v>
      </c>
      <c r="B6">
        <v>0</v>
      </c>
      <c r="C6" t="str">
        <f t="shared" si="0"/>
        <v>Invalid</v>
      </c>
    </row>
    <row r="7" spans="1:3" x14ac:dyDescent="0.25">
      <c r="A7">
        <v>17</v>
      </c>
      <c r="B7">
        <v>0</v>
      </c>
      <c r="C7" t="str">
        <f t="shared" si="0"/>
        <v>Invalid</v>
      </c>
    </row>
    <row r="8" spans="1:3" x14ac:dyDescent="0.25">
      <c r="A8">
        <v>10</v>
      </c>
      <c r="B8">
        <v>4</v>
      </c>
      <c r="C8">
        <f t="shared" si="0"/>
        <v>2.5</v>
      </c>
    </row>
    <row r="9" spans="1:3" x14ac:dyDescent="0.25">
      <c r="A9">
        <v>12</v>
      </c>
      <c r="B9">
        <v>3</v>
      </c>
      <c r="C9">
        <f t="shared" si="0"/>
        <v>4</v>
      </c>
    </row>
    <row r="10" spans="1:3" x14ac:dyDescent="0.25">
      <c r="A10">
        <v>16</v>
      </c>
      <c r="B10">
        <v>0</v>
      </c>
      <c r="C10" t="str">
        <f t="shared" si="0"/>
        <v>Invalid</v>
      </c>
    </row>
    <row r="11" spans="1:3" x14ac:dyDescent="0.25">
      <c r="A11">
        <v>9</v>
      </c>
      <c r="B11">
        <v>1</v>
      </c>
      <c r="C11">
        <f t="shared" si="0"/>
        <v>9</v>
      </c>
    </row>
    <row r="12" spans="1:3" x14ac:dyDescent="0.25">
      <c r="A12">
        <v>16</v>
      </c>
      <c r="B12">
        <v>0</v>
      </c>
      <c r="C12" t="str">
        <f t="shared" si="0"/>
        <v>Invalid</v>
      </c>
    </row>
    <row r="13" spans="1:3" x14ac:dyDescent="0.25">
      <c r="A13">
        <v>20</v>
      </c>
      <c r="B13">
        <v>2</v>
      </c>
      <c r="C13">
        <f t="shared" si="0"/>
        <v>10</v>
      </c>
    </row>
    <row r="14" spans="1:3" x14ac:dyDescent="0.25">
      <c r="A14">
        <v>16</v>
      </c>
      <c r="B14">
        <v>2</v>
      </c>
      <c r="C14">
        <f t="shared" si="0"/>
        <v>8</v>
      </c>
    </row>
    <row r="15" spans="1:3" x14ac:dyDescent="0.25">
      <c r="A15">
        <v>18</v>
      </c>
      <c r="B15">
        <v>5</v>
      </c>
      <c r="C15">
        <f t="shared" si="0"/>
        <v>3.6</v>
      </c>
    </row>
    <row r="16" spans="1:3" x14ac:dyDescent="0.25">
      <c r="A16">
        <v>17</v>
      </c>
      <c r="B16">
        <v>4</v>
      </c>
      <c r="C16">
        <f t="shared" si="0"/>
        <v>4.25</v>
      </c>
    </row>
    <row r="17" spans="1:3" x14ac:dyDescent="0.25">
      <c r="A17">
        <v>9</v>
      </c>
      <c r="B17">
        <v>3</v>
      </c>
      <c r="C17">
        <f t="shared" si="0"/>
        <v>3</v>
      </c>
    </row>
    <row r="18" spans="1:3" x14ac:dyDescent="0.25">
      <c r="A18">
        <v>20</v>
      </c>
      <c r="B18">
        <v>0</v>
      </c>
      <c r="C18" t="str">
        <f t="shared" si="0"/>
        <v>Invalid</v>
      </c>
    </row>
    <row r="19" spans="1:3" x14ac:dyDescent="0.25">
      <c r="A19">
        <v>8</v>
      </c>
      <c r="B19">
        <v>2</v>
      </c>
      <c r="C19">
        <f t="shared" si="0"/>
        <v>4</v>
      </c>
    </row>
    <row r="20" spans="1:3" x14ac:dyDescent="0.25">
      <c r="A20">
        <v>10</v>
      </c>
      <c r="B20">
        <v>2</v>
      </c>
      <c r="C20">
        <f t="shared" si="0"/>
        <v>5</v>
      </c>
    </row>
    <row r="21" spans="1:3" x14ac:dyDescent="0.25">
      <c r="A21">
        <v>15</v>
      </c>
      <c r="B21">
        <v>1</v>
      </c>
      <c r="C21">
        <f t="shared" si="0"/>
        <v>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4745F-07EF-44EE-8A6B-72EB8CAC76C8}">
  <dimension ref="A1:I21"/>
  <sheetViews>
    <sheetView workbookViewId="0">
      <selection sqref="A1:XFD1"/>
    </sheetView>
  </sheetViews>
  <sheetFormatPr defaultRowHeight="15" x14ac:dyDescent="0.25"/>
  <cols>
    <col min="1" max="1" width="15.7109375" bestFit="1" customWidth="1"/>
    <col min="2" max="2" width="16.28515625" bestFit="1" customWidth="1"/>
    <col min="3" max="3" width="13.42578125" bestFit="1" customWidth="1"/>
    <col min="4" max="4" width="19.5703125" bestFit="1" customWidth="1"/>
    <col min="9" max="9" width="35.7109375" customWidth="1"/>
  </cols>
  <sheetData>
    <row r="1" spans="1:9" s="41" customFormat="1" x14ac:dyDescent="0.25">
      <c r="A1" s="41" t="s">
        <v>109</v>
      </c>
      <c r="B1" s="41" t="s">
        <v>199</v>
      </c>
      <c r="C1" s="41" t="s">
        <v>173</v>
      </c>
      <c r="D1" s="41" t="s">
        <v>174</v>
      </c>
    </row>
    <row r="2" spans="1:9" x14ac:dyDescent="0.25">
      <c r="A2" t="s">
        <v>200</v>
      </c>
      <c r="B2">
        <v>45</v>
      </c>
      <c r="C2">
        <v>92</v>
      </c>
      <c r="D2" t="str">
        <f>IF(AND(C2&gt;=90, B2&gt;=40), "Excellent", IF(C2&gt;=80, "Good", "Needs Improvement"))</f>
        <v>Excellent</v>
      </c>
    </row>
    <row r="3" spans="1:9" x14ac:dyDescent="0.25">
      <c r="A3" t="s">
        <v>169</v>
      </c>
      <c r="B3">
        <v>38</v>
      </c>
      <c r="C3">
        <v>85</v>
      </c>
      <c r="D3" t="str">
        <f t="shared" ref="D3:D21" si="0">IF(AND(C3&gt;=90, B3&gt;=40), "Excellent", IF(C3&gt;=80, "Good", "Needs Improvement"))</f>
        <v>Good</v>
      </c>
    </row>
    <row r="4" spans="1:9" x14ac:dyDescent="0.25">
      <c r="A4" t="s">
        <v>170</v>
      </c>
      <c r="B4">
        <v>50</v>
      </c>
      <c r="C4">
        <v>95</v>
      </c>
      <c r="D4" t="str">
        <f t="shared" si="0"/>
        <v>Excellent</v>
      </c>
    </row>
    <row r="5" spans="1:9" x14ac:dyDescent="0.25">
      <c r="A5" t="s">
        <v>53</v>
      </c>
      <c r="B5">
        <v>30</v>
      </c>
      <c r="C5">
        <v>70</v>
      </c>
      <c r="D5" t="str">
        <f t="shared" si="0"/>
        <v>Needs Improvement</v>
      </c>
    </row>
    <row r="6" spans="1:9" x14ac:dyDescent="0.25">
      <c r="A6" t="s">
        <v>161</v>
      </c>
      <c r="B6">
        <v>43</v>
      </c>
      <c r="C6">
        <v>74</v>
      </c>
      <c r="D6" t="str">
        <f t="shared" si="0"/>
        <v>Needs Improvement</v>
      </c>
    </row>
    <row r="7" spans="1:9" x14ac:dyDescent="0.25">
      <c r="A7" t="s">
        <v>166</v>
      </c>
      <c r="B7">
        <v>34</v>
      </c>
      <c r="C7">
        <v>76</v>
      </c>
      <c r="D7" t="str">
        <f t="shared" si="0"/>
        <v>Needs Improvement</v>
      </c>
    </row>
    <row r="8" spans="1:9" x14ac:dyDescent="0.25">
      <c r="A8" t="s">
        <v>57</v>
      </c>
      <c r="B8">
        <v>45</v>
      </c>
      <c r="C8">
        <v>71</v>
      </c>
      <c r="D8" t="str">
        <f t="shared" si="0"/>
        <v>Needs Improvement</v>
      </c>
    </row>
    <row r="9" spans="1:9" x14ac:dyDescent="0.25">
      <c r="A9" t="s">
        <v>69</v>
      </c>
      <c r="B9">
        <v>35</v>
      </c>
      <c r="C9">
        <v>91</v>
      </c>
      <c r="D9" t="str">
        <f t="shared" si="0"/>
        <v>Good</v>
      </c>
      <c r="I9" s="44"/>
    </row>
    <row r="10" spans="1:9" x14ac:dyDescent="0.25">
      <c r="A10" t="s">
        <v>70</v>
      </c>
      <c r="B10">
        <v>42</v>
      </c>
      <c r="C10">
        <v>85</v>
      </c>
      <c r="D10" t="str">
        <f t="shared" si="0"/>
        <v>Good</v>
      </c>
    </row>
    <row r="11" spans="1:9" x14ac:dyDescent="0.25">
      <c r="A11" t="s">
        <v>71</v>
      </c>
      <c r="B11">
        <v>36</v>
      </c>
      <c r="C11">
        <v>92</v>
      </c>
      <c r="D11" t="str">
        <f t="shared" si="0"/>
        <v>Good</v>
      </c>
    </row>
    <row r="12" spans="1:9" x14ac:dyDescent="0.25">
      <c r="A12" t="s">
        <v>72</v>
      </c>
      <c r="B12">
        <v>36</v>
      </c>
      <c r="C12">
        <v>73</v>
      </c>
      <c r="D12" t="str">
        <f t="shared" si="0"/>
        <v>Needs Improvement</v>
      </c>
    </row>
    <row r="13" spans="1:9" x14ac:dyDescent="0.25">
      <c r="A13" t="s">
        <v>73</v>
      </c>
      <c r="B13">
        <v>47</v>
      </c>
      <c r="C13">
        <v>77</v>
      </c>
      <c r="D13" t="str">
        <f t="shared" si="0"/>
        <v>Needs Improvement</v>
      </c>
    </row>
    <row r="14" spans="1:9" x14ac:dyDescent="0.25">
      <c r="A14" t="s">
        <v>74</v>
      </c>
      <c r="B14">
        <v>46</v>
      </c>
      <c r="C14">
        <v>94</v>
      </c>
      <c r="D14" t="str">
        <f t="shared" si="0"/>
        <v>Excellent</v>
      </c>
    </row>
    <row r="15" spans="1:9" x14ac:dyDescent="0.25">
      <c r="A15" t="s">
        <v>75</v>
      </c>
      <c r="B15">
        <v>41</v>
      </c>
      <c r="C15">
        <v>86</v>
      </c>
      <c r="D15" t="str">
        <f t="shared" si="0"/>
        <v>Good</v>
      </c>
    </row>
    <row r="16" spans="1:9" x14ac:dyDescent="0.25">
      <c r="A16" t="s">
        <v>76</v>
      </c>
      <c r="B16">
        <v>35</v>
      </c>
      <c r="C16">
        <v>79</v>
      </c>
      <c r="D16" t="str">
        <f t="shared" si="0"/>
        <v>Needs Improvement</v>
      </c>
    </row>
    <row r="17" spans="1:4" x14ac:dyDescent="0.25">
      <c r="A17" t="s">
        <v>77</v>
      </c>
      <c r="B17">
        <v>30</v>
      </c>
      <c r="C17">
        <v>93</v>
      </c>
      <c r="D17" t="str">
        <f t="shared" si="0"/>
        <v>Good</v>
      </c>
    </row>
    <row r="18" spans="1:4" x14ac:dyDescent="0.25">
      <c r="A18" t="s">
        <v>78</v>
      </c>
      <c r="B18">
        <v>31</v>
      </c>
      <c r="C18">
        <v>76</v>
      </c>
      <c r="D18" t="str">
        <f t="shared" si="0"/>
        <v>Needs Improvement</v>
      </c>
    </row>
    <row r="19" spans="1:4" x14ac:dyDescent="0.25">
      <c r="A19" t="s">
        <v>79</v>
      </c>
      <c r="B19">
        <v>34</v>
      </c>
      <c r="C19">
        <v>90</v>
      </c>
      <c r="D19" t="str">
        <f t="shared" si="0"/>
        <v>Good</v>
      </c>
    </row>
    <row r="20" spans="1:4" x14ac:dyDescent="0.25">
      <c r="A20" t="s">
        <v>80</v>
      </c>
      <c r="B20">
        <v>36</v>
      </c>
      <c r="C20">
        <v>93</v>
      </c>
      <c r="D20" t="str">
        <f t="shared" si="0"/>
        <v>Good</v>
      </c>
    </row>
    <row r="21" spans="1:4" x14ac:dyDescent="0.25">
      <c r="A21" t="s">
        <v>81</v>
      </c>
      <c r="B21">
        <v>37</v>
      </c>
      <c r="C21">
        <v>86</v>
      </c>
      <c r="D21" t="str">
        <f t="shared" si="0"/>
        <v>Good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833C-9BFA-4173-B363-F30D0242290F}">
  <dimension ref="A1:H21"/>
  <sheetViews>
    <sheetView workbookViewId="0">
      <selection activeCell="B6" sqref="B6:B21"/>
    </sheetView>
  </sheetViews>
  <sheetFormatPr defaultRowHeight="15" x14ac:dyDescent="0.25"/>
  <cols>
    <col min="1" max="1" width="8.42578125" bestFit="1" customWidth="1"/>
    <col min="2" max="2" width="9.5703125" bestFit="1" customWidth="1"/>
    <col min="3" max="3" width="9.42578125" bestFit="1" customWidth="1"/>
    <col min="4" max="4" width="4.140625" bestFit="1" customWidth="1"/>
    <col min="5" max="5" width="10.7109375" bestFit="1" customWidth="1"/>
    <col min="6" max="6" width="9.7109375" bestFit="1" customWidth="1"/>
    <col min="7" max="7" width="13.140625" bestFit="1" customWidth="1"/>
    <col min="8" max="8" width="14.5703125" bestFit="1" customWidth="1"/>
  </cols>
  <sheetData>
    <row r="1" spans="1:8" s="41" customFormat="1" x14ac:dyDescent="0.25">
      <c r="A1" s="51" t="s">
        <v>128</v>
      </c>
      <c r="B1" s="51" t="s">
        <v>201</v>
      </c>
      <c r="C1" s="51" t="s">
        <v>151</v>
      </c>
      <c r="D1" s="51" t="s">
        <v>202</v>
      </c>
      <c r="E1" s="51" t="s">
        <v>203</v>
      </c>
      <c r="F1" s="51" t="s">
        <v>196</v>
      </c>
      <c r="G1" s="45" t="s">
        <v>213</v>
      </c>
      <c r="H1" s="51" t="s">
        <v>214</v>
      </c>
    </row>
    <row r="2" spans="1:8" x14ac:dyDescent="0.25">
      <c r="A2" s="47" t="s">
        <v>129</v>
      </c>
      <c r="B2" s="47" t="s">
        <v>204</v>
      </c>
      <c r="C2" s="47" t="s">
        <v>154</v>
      </c>
      <c r="D2" s="47">
        <v>2</v>
      </c>
      <c r="E2" s="48">
        <v>45000</v>
      </c>
      <c r="F2" s="47" t="s">
        <v>205</v>
      </c>
      <c r="G2" s="48">
        <f>E2*D2</f>
        <v>90000</v>
      </c>
      <c r="H2" s="47" t="str">
        <f>IF(G2&gt;50000, "High Value", "Normal")</f>
        <v>High Value</v>
      </c>
    </row>
    <row r="3" spans="1:8" x14ac:dyDescent="0.25">
      <c r="A3" s="47" t="s">
        <v>130</v>
      </c>
      <c r="B3" s="47" t="s">
        <v>206</v>
      </c>
      <c r="C3" s="47" t="s">
        <v>207</v>
      </c>
      <c r="D3" s="47">
        <v>5</v>
      </c>
      <c r="E3" s="48">
        <v>700</v>
      </c>
      <c r="F3" s="47" t="s">
        <v>208</v>
      </c>
      <c r="G3" s="48">
        <f t="shared" ref="G3:G21" si="0">E3*D3</f>
        <v>3500</v>
      </c>
      <c r="H3" s="47" t="str">
        <f t="shared" ref="H3:H21" si="1">IF(G3&gt;50000, "High Value", "Normal")</f>
        <v>Normal</v>
      </c>
    </row>
    <row r="4" spans="1:8" x14ac:dyDescent="0.25">
      <c r="A4" s="47" t="s">
        <v>131</v>
      </c>
      <c r="B4" s="47" t="s">
        <v>209</v>
      </c>
      <c r="C4" s="47" t="s">
        <v>155</v>
      </c>
      <c r="D4" s="47">
        <v>3</v>
      </c>
      <c r="E4" s="48">
        <v>1500</v>
      </c>
      <c r="F4" s="47" t="s">
        <v>205</v>
      </c>
      <c r="G4" s="48">
        <f t="shared" si="0"/>
        <v>4500</v>
      </c>
      <c r="H4" s="47" t="str">
        <f t="shared" si="1"/>
        <v>Normal</v>
      </c>
    </row>
    <row r="5" spans="1:8" x14ac:dyDescent="0.25">
      <c r="A5" s="47" t="s">
        <v>132</v>
      </c>
      <c r="B5" s="47" t="s">
        <v>210</v>
      </c>
      <c r="C5" s="47" t="s">
        <v>211</v>
      </c>
      <c r="D5" s="47">
        <v>1</v>
      </c>
      <c r="E5" s="48">
        <v>18000</v>
      </c>
      <c r="F5" s="47" t="s">
        <v>212</v>
      </c>
      <c r="G5" s="48">
        <f t="shared" si="0"/>
        <v>18000</v>
      </c>
      <c r="H5" s="47" t="str">
        <f t="shared" si="1"/>
        <v>Normal</v>
      </c>
    </row>
    <row r="6" spans="1:8" x14ac:dyDescent="0.25">
      <c r="A6" s="47" t="s">
        <v>133</v>
      </c>
      <c r="B6" s="47" t="s">
        <v>161</v>
      </c>
      <c r="C6" s="47" t="s">
        <v>154</v>
      </c>
      <c r="D6" s="47">
        <v>1</v>
      </c>
      <c r="E6" s="48">
        <v>18874</v>
      </c>
      <c r="F6" s="47" t="s">
        <v>205</v>
      </c>
      <c r="G6" s="48">
        <f t="shared" si="0"/>
        <v>18874</v>
      </c>
      <c r="H6" s="47" t="str">
        <f t="shared" si="1"/>
        <v>Normal</v>
      </c>
    </row>
    <row r="7" spans="1:8" x14ac:dyDescent="0.25">
      <c r="A7" s="47" t="s">
        <v>134</v>
      </c>
      <c r="B7" s="47" t="s">
        <v>166</v>
      </c>
      <c r="C7" s="47" t="s">
        <v>207</v>
      </c>
      <c r="D7" s="47">
        <v>5</v>
      </c>
      <c r="E7" s="48">
        <v>21419</v>
      </c>
      <c r="F7" s="47" t="s">
        <v>208</v>
      </c>
      <c r="G7" s="48">
        <f t="shared" si="0"/>
        <v>107095</v>
      </c>
      <c r="H7" s="47" t="str">
        <f t="shared" si="1"/>
        <v>High Value</v>
      </c>
    </row>
    <row r="8" spans="1:8" x14ac:dyDescent="0.25">
      <c r="A8" s="47" t="s">
        <v>135</v>
      </c>
      <c r="B8" s="47" t="s">
        <v>57</v>
      </c>
      <c r="C8" s="47" t="s">
        <v>155</v>
      </c>
      <c r="D8" s="47">
        <v>2</v>
      </c>
      <c r="E8" s="48">
        <v>14325</v>
      </c>
      <c r="F8" s="47" t="s">
        <v>205</v>
      </c>
      <c r="G8" s="48">
        <f t="shared" si="0"/>
        <v>28650</v>
      </c>
      <c r="H8" s="47" t="str">
        <f t="shared" si="1"/>
        <v>Normal</v>
      </c>
    </row>
    <row r="9" spans="1:8" x14ac:dyDescent="0.25">
      <c r="A9" s="47" t="s">
        <v>136</v>
      </c>
      <c r="B9" s="47" t="s">
        <v>69</v>
      </c>
      <c r="C9" s="47" t="s">
        <v>211</v>
      </c>
      <c r="D9" s="47">
        <v>2</v>
      </c>
      <c r="E9" s="48">
        <v>41907</v>
      </c>
      <c r="F9" s="47" t="s">
        <v>212</v>
      </c>
      <c r="G9" s="48">
        <f t="shared" si="0"/>
        <v>83814</v>
      </c>
      <c r="H9" s="47" t="str">
        <f t="shared" si="1"/>
        <v>High Value</v>
      </c>
    </row>
    <row r="10" spans="1:8" x14ac:dyDescent="0.25">
      <c r="A10" s="47" t="s">
        <v>137</v>
      </c>
      <c r="B10" s="47" t="s">
        <v>70</v>
      </c>
      <c r="C10" s="47" t="s">
        <v>154</v>
      </c>
      <c r="D10" s="47">
        <v>3</v>
      </c>
      <c r="E10" s="48">
        <v>40121</v>
      </c>
      <c r="F10" s="47" t="s">
        <v>205</v>
      </c>
      <c r="G10" s="48">
        <f t="shared" si="0"/>
        <v>120363</v>
      </c>
      <c r="H10" s="47" t="str">
        <f t="shared" si="1"/>
        <v>High Value</v>
      </c>
    </row>
    <row r="11" spans="1:8" x14ac:dyDescent="0.25">
      <c r="A11" s="47" t="s">
        <v>138</v>
      </c>
      <c r="B11" s="47" t="s">
        <v>71</v>
      </c>
      <c r="C11" s="47" t="s">
        <v>155</v>
      </c>
      <c r="D11" s="47">
        <v>5</v>
      </c>
      <c r="E11" s="48">
        <v>13250</v>
      </c>
      <c r="F11" s="47" t="s">
        <v>208</v>
      </c>
      <c r="G11" s="48">
        <f t="shared" si="0"/>
        <v>66250</v>
      </c>
      <c r="H11" s="47" t="str">
        <f t="shared" si="1"/>
        <v>High Value</v>
      </c>
    </row>
    <row r="12" spans="1:8" x14ac:dyDescent="0.25">
      <c r="A12" s="47" t="s">
        <v>139</v>
      </c>
      <c r="B12" s="47" t="s">
        <v>72</v>
      </c>
      <c r="C12" s="47" t="s">
        <v>155</v>
      </c>
      <c r="D12" s="47">
        <v>5</v>
      </c>
      <c r="E12" s="48">
        <v>37187</v>
      </c>
      <c r="F12" s="47" t="s">
        <v>205</v>
      </c>
      <c r="G12" s="48">
        <f t="shared" si="0"/>
        <v>185935</v>
      </c>
      <c r="H12" s="47" t="str">
        <f t="shared" si="1"/>
        <v>High Value</v>
      </c>
    </row>
    <row r="13" spans="1:8" x14ac:dyDescent="0.25">
      <c r="A13" s="47" t="s">
        <v>140</v>
      </c>
      <c r="B13" s="47" t="s">
        <v>73</v>
      </c>
      <c r="C13" s="47" t="s">
        <v>211</v>
      </c>
      <c r="D13" s="47">
        <v>2</v>
      </c>
      <c r="E13" s="48">
        <v>39508</v>
      </c>
      <c r="F13" s="47" t="s">
        <v>212</v>
      </c>
      <c r="G13" s="48">
        <f t="shared" si="0"/>
        <v>79016</v>
      </c>
      <c r="H13" s="47" t="str">
        <f t="shared" si="1"/>
        <v>High Value</v>
      </c>
    </row>
    <row r="14" spans="1:8" x14ac:dyDescent="0.25">
      <c r="A14" s="47" t="s">
        <v>141</v>
      </c>
      <c r="B14" s="47" t="s">
        <v>74</v>
      </c>
      <c r="C14" s="47" t="s">
        <v>154</v>
      </c>
      <c r="D14" s="47">
        <v>3</v>
      </c>
      <c r="E14" s="48">
        <v>43188</v>
      </c>
      <c r="F14" s="47" t="s">
        <v>205</v>
      </c>
      <c r="G14" s="48">
        <f t="shared" si="0"/>
        <v>129564</v>
      </c>
      <c r="H14" s="47" t="str">
        <f t="shared" si="1"/>
        <v>High Value</v>
      </c>
    </row>
    <row r="15" spans="1:8" x14ac:dyDescent="0.25">
      <c r="A15" s="47" t="s">
        <v>142</v>
      </c>
      <c r="B15" s="47" t="s">
        <v>75</v>
      </c>
      <c r="C15" s="47" t="s">
        <v>207</v>
      </c>
      <c r="D15" s="47">
        <v>4</v>
      </c>
      <c r="E15" s="48">
        <v>30204</v>
      </c>
      <c r="F15" s="47" t="s">
        <v>208</v>
      </c>
      <c r="G15" s="48">
        <f t="shared" si="0"/>
        <v>120816</v>
      </c>
      <c r="H15" s="47" t="str">
        <f t="shared" si="1"/>
        <v>High Value</v>
      </c>
    </row>
    <row r="16" spans="1:8" x14ac:dyDescent="0.25">
      <c r="A16" s="47" t="s">
        <v>143</v>
      </c>
      <c r="B16" s="47" t="s">
        <v>76</v>
      </c>
      <c r="C16" s="47" t="s">
        <v>155</v>
      </c>
      <c r="D16" s="47">
        <v>5</v>
      </c>
      <c r="E16" s="48">
        <v>32773</v>
      </c>
      <c r="F16" s="47" t="s">
        <v>205</v>
      </c>
      <c r="G16" s="48">
        <f t="shared" si="0"/>
        <v>163865</v>
      </c>
      <c r="H16" s="47" t="str">
        <f t="shared" si="1"/>
        <v>High Value</v>
      </c>
    </row>
    <row r="17" spans="1:8" x14ac:dyDescent="0.25">
      <c r="A17" s="47" t="s">
        <v>144</v>
      </c>
      <c r="B17" s="47" t="s">
        <v>77</v>
      </c>
      <c r="C17" s="47" t="s">
        <v>211</v>
      </c>
      <c r="D17" s="47">
        <v>5</v>
      </c>
      <c r="E17" s="48">
        <v>39607</v>
      </c>
      <c r="F17" s="47" t="s">
        <v>212</v>
      </c>
      <c r="G17" s="48">
        <f t="shared" si="0"/>
        <v>198035</v>
      </c>
      <c r="H17" s="47" t="str">
        <f t="shared" si="1"/>
        <v>High Value</v>
      </c>
    </row>
    <row r="18" spans="1:8" x14ac:dyDescent="0.25">
      <c r="A18" s="47" t="s">
        <v>145</v>
      </c>
      <c r="B18" s="47" t="s">
        <v>78</v>
      </c>
      <c r="C18" s="47" t="s">
        <v>154</v>
      </c>
      <c r="D18" s="47">
        <v>1</v>
      </c>
      <c r="E18" s="48">
        <v>30226</v>
      </c>
      <c r="F18" s="47" t="s">
        <v>205</v>
      </c>
      <c r="G18" s="48">
        <f t="shared" si="0"/>
        <v>30226</v>
      </c>
      <c r="H18" s="47" t="str">
        <f t="shared" si="1"/>
        <v>Normal</v>
      </c>
    </row>
    <row r="19" spans="1:8" x14ac:dyDescent="0.25">
      <c r="A19" s="47" t="s">
        <v>146</v>
      </c>
      <c r="B19" s="47" t="s">
        <v>79</v>
      </c>
      <c r="C19" s="47" t="s">
        <v>155</v>
      </c>
      <c r="D19" s="47">
        <v>2</v>
      </c>
      <c r="E19" s="48">
        <v>8764</v>
      </c>
      <c r="F19" s="47" t="s">
        <v>208</v>
      </c>
      <c r="G19" s="48">
        <f t="shared" si="0"/>
        <v>17528</v>
      </c>
      <c r="H19" s="47" t="str">
        <f t="shared" si="1"/>
        <v>Normal</v>
      </c>
    </row>
    <row r="20" spans="1:8" x14ac:dyDescent="0.25">
      <c r="A20" s="47" t="s">
        <v>147</v>
      </c>
      <c r="B20" s="47" t="s">
        <v>80</v>
      </c>
      <c r="C20" s="47" t="s">
        <v>155</v>
      </c>
      <c r="D20" s="47">
        <v>1</v>
      </c>
      <c r="E20" s="48">
        <v>19352</v>
      </c>
      <c r="F20" s="47" t="s">
        <v>205</v>
      </c>
      <c r="G20" s="48">
        <f t="shared" si="0"/>
        <v>19352</v>
      </c>
      <c r="H20" s="47" t="str">
        <f t="shared" si="1"/>
        <v>Normal</v>
      </c>
    </row>
    <row r="21" spans="1:8" x14ac:dyDescent="0.25">
      <c r="A21" s="47" t="s">
        <v>148</v>
      </c>
      <c r="B21" s="47" t="s">
        <v>81</v>
      </c>
      <c r="C21" s="47" t="s">
        <v>211</v>
      </c>
      <c r="D21" s="47">
        <v>1</v>
      </c>
      <c r="E21" s="48">
        <v>25797</v>
      </c>
      <c r="F21" s="47" t="s">
        <v>212</v>
      </c>
      <c r="G21" s="48">
        <f t="shared" si="0"/>
        <v>25797</v>
      </c>
      <c r="H21" s="47" t="str">
        <f t="shared" si="1"/>
        <v>Normal</v>
      </c>
    </row>
  </sheetData>
  <phoneticPr fontId="4" type="noConversion"/>
  <conditionalFormatting sqref="F2:F21">
    <cfRule type="cellIs" dxfId="11" priority="2" operator="equal">
      <formula>"Cancelled"</formula>
    </cfRule>
  </conditionalFormatting>
  <conditionalFormatting sqref="G2:G21">
    <cfRule type="cellIs" dxfId="10" priority="1" operator="greaterThan">
      <formula>50000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41BD-278A-4C65-89C7-EA01FC2B05D5}">
  <dimension ref="A1:F21"/>
  <sheetViews>
    <sheetView workbookViewId="0">
      <selection activeCell="B6" sqref="B6:B21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4.42578125" bestFit="1" customWidth="1"/>
    <col min="4" max="4" width="7.5703125" bestFit="1" customWidth="1"/>
    <col min="5" max="5" width="12" bestFit="1" customWidth="1"/>
    <col min="6" max="6" width="13.42578125" bestFit="1" customWidth="1"/>
  </cols>
  <sheetData>
    <row r="1" spans="1:6" s="41" customFormat="1" x14ac:dyDescent="0.25">
      <c r="A1" s="50" t="s">
        <v>215</v>
      </c>
      <c r="B1" s="50" t="s">
        <v>1</v>
      </c>
      <c r="C1" s="50" t="s">
        <v>181</v>
      </c>
      <c r="D1" s="50" t="s">
        <v>216</v>
      </c>
      <c r="E1" s="50" t="s">
        <v>217</v>
      </c>
      <c r="F1" s="46" t="s">
        <v>230</v>
      </c>
    </row>
    <row r="2" spans="1:6" x14ac:dyDescent="0.25">
      <c r="A2" s="49" t="s">
        <v>218</v>
      </c>
      <c r="B2" s="49" t="s">
        <v>219</v>
      </c>
      <c r="C2" s="47">
        <v>25</v>
      </c>
      <c r="D2" s="49" t="s">
        <v>220</v>
      </c>
      <c r="E2" s="49" t="s">
        <v>221</v>
      </c>
      <c r="F2" s="47" t="str">
        <f>IF(C2&lt;18,"Minor",IF(AND(C2&gt;=18,C2&lt;=59),"Adult","Senior Citizen"))</f>
        <v>Adult</v>
      </c>
    </row>
    <row r="3" spans="1:6" x14ac:dyDescent="0.25">
      <c r="A3" s="49" t="s">
        <v>222</v>
      </c>
      <c r="B3" s="49" t="s">
        <v>47</v>
      </c>
      <c r="C3" s="47">
        <v>62</v>
      </c>
      <c r="D3" s="49" t="s">
        <v>223</v>
      </c>
      <c r="E3" s="49" t="s">
        <v>224</v>
      </c>
      <c r="F3" s="47" t="str">
        <f t="shared" ref="F3:F21" si="0">IF(C3&lt;18,"Minor",IF(AND(C3&gt;=18,C3&lt;=59),"Adult","Senior Citizen"))</f>
        <v>Senior Citizen</v>
      </c>
    </row>
    <row r="4" spans="1:6" x14ac:dyDescent="0.25">
      <c r="A4" s="49" t="s">
        <v>225</v>
      </c>
      <c r="B4" s="49" t="s">
        <v>209</v>
      </c>
      <c r="C4" s="47">
        <v>70</v>
      </c>
      <c r="D4" s="49" t="s">
        <v>220</v>
      </c>
      <c r="E4" s="49" t="s">
        <v>226</v>
      </c>
      <c r="F4" s="47" t="str">
        <f t="shared" si="0"/>
        <v>Senior Citizen</v>
      </c>
    </row>
    <row r="5" spans="1:6" x14ac:dyDescent="0.25">
      <c r="A5" s="49" t="s">
        <v>227</v>
      </c>
      <c r="B5" s="49" t="s">
        <v>228</v>
      </c>
      <c r="C5" s="47">
        <v>15</v>
      </c>
      <c r="D5" s="49" t="s">
        <v>223</v>
      </c>
      <c r="E5" s="49" t="s">
        <v>229</v>
      </c>
      <c r="F5" s="47" t="str">
        <f t="shared" si="0"/>
        <v>Minor</v>
      </c>
    </row>
    <row r="6" spans="1:6" x14ac:dyDescent="0.25">
      <c r="A6" s="49" t="s">
        <v>231</v>
      </c>
      <c r="B6" s="49" t="s">
        <v>161</v>
      </c>
      <c r="C6" s="47">
        <v>59</v>
      </c>
      <c r="D6" s="47" t="s">
        <v>220</v>
      </c>
      <c r="E6" s="49" t="s">
        <v>221</v>
      </c>
      <c r="F6" s="47" t="str">
        <f t="shared" si="0"/>
        <v>Adult</v>
      </c>
    </row>
    <row r="7" spans="1:6" x14ac:dyDescent="0.25">
      <c r="A7" s="49" t="s">
        <v>232</v>
      </c>
      <c r="B7" s="49" t="s">
        <v>166</v>
      </c>
      <c r="C7" s="47">
        <v>21</v>
      </c>
      <c r="D7" s="47" t="s">
        <v>220</v>
      </c>
      <c r="E7" s="49" t="s">
        <v>224</v>
      </c>
      <c r="F7" s="47" t="str">
        <f t="shared" si="0"/>
        <v>Adult</v>
      </c>
    </row>
    <row r="8" spans="1:6" x14ac:dyDescent="0.25">
      <c r="A8" s="49" t="s">
        <v>233</v>
      </c>
      <c r="B8" s="49" t="s">
        <v>57</v>
      </c>
      <c r="C8" s="47">
        <v>57</v>
      </c>
      <c r="D8" s="47" t="s">
        <v>220</v>
      </c>
      <c r="E8" s="49" t="s">
        <v>226</v>
      </c>
      <c r="F8" s="47" t="str">
        <f t="shared" si="0"/>
        <v>Adult</v>
      </c>
    </row>
    <row r="9" spans="1:6" x14ac:dyDescent="0.25">
      <c r="A9" s="49" t="s">
        <v>234</v>
      </c>
      <c r="B9" s="49" t="s">
        <v>69</v>
      </c>
      <c r="C9" s="47">
        <v>57</v>
      </c>
      <c r="D9" s="47" t="s">
        <v>220</v>
      </c>
      <c r="E9" s="49" t="s">
        <v>229</v>
      </c>
      <c r="F9" s="47" t="str">
        <f t="shared" si="0"/>
        <v>Adult</v>
      </c>
    </row>
    <row r="10" spans="1:6" x14ac:dyDescent="0.25">
      <c r="A10" s="49" t="s">
        <v>235</v>
      </c>
      <c r="B10" s="49" t="s">
        <v>70</v>
      </c>
      <c r="C10" s="47">
        <v>33</v>
      </c>
      <c r="D10" s="47" t="s">
        <v>223</v>
      </c>
      <c r="E10" s="49" t="s">
        <v>221</v>
      </c>
      <c r="F10" s="47" t="str">
        <f t="shared" si="0"/>
        <v>Adult</v>
      </c>
    </row>
    <row r="11" spans="1:6" x14ac:dyDescent="0.25">
      <c r="A11" s="49" t="s">
        <v>236</v>
      </c>
      <c r="B11" s="49" t="s">
        <v>71</v>
      </c>
      <c r="C11" s="47">
        <v>58</v>
      </c>
      <c r="D11" s="47" t="s">
        <v>223</v>
      </c>
      <c r="E11" s="49" t="s">
        <v>224</v>
      </c>
      <c r="F11" s="47" t="str">
        <f t="shared" si="0"/>
        <v>Adult</v>
      </c>
    </row>
    <row r="12" spans="1:6" x14ac:dyDescent="0.25">
      <c r="A12" s="49" t="s">
        <v>237</v>
      </c>
      <c r="B12" s="49" t="s">
        <v>72</v>
      </c>
      <c r="C12" s="47">
        <v>51</v>
      </c>
      <c r="D12" s="47" t="s">
        <v>220</v>
      </c>
      <c r="E12" s="49" t="s">
        <v>226</v>
      </c>
      <c r="F12" s="47" t="str">
        <f t="shared" si="0"/>
        <v>Adult</v>
      </c>
    </row>
    <row r="13" spans="1:6" x14ac:dyDescent="0.25">
      <c r="A13" s="49" t="s">
        <v>238</v>
      </c>
      <c r="B13" s="49" t="s">
        <v>73</v>
      </c>
      <c r="C13" s="47">
        <v>57</v>
      </c>
      <c r="D13" s="47" t="s">
        <v>220</v>
      </c>
      <c r="E13" s="49" t="s">
        <v>229</v>
      </c>
      <c r="F13" s="47" t="str">
        <f t="shared" si="0"/>
        <v>Adult</v>
      </c>
    </row>
    <row r="14" spans="1:6" x14ac:dyDescent="0.25">
      <c r="A14" s="49" t="s">
        <v>239</v>
      </c>
      <c r="B14" s="49" t="s">
        <v>74</v>
      </c>
      <c r="C14" s="47">
        <v>61</v>
      </c>
      <c r="D14" s="47" t="s">
        <v>223</v>
      </c>
      <c r="E14" s="49" t="s">
        <v>221</v>
      </c>
      <c r="F14" s="47" t="str">
        <f t="shared" si="0"/>
        <v>Senior Citizen</v>
      </c>
    </row>
    <row r="15" spans="1:6" x14ac:dyDescent="0.25">
      <c r="A15" s="49" t="s">
        <v>240</v>
      </c>
      <c r="B15" s="49" t="s">
        <v>75</v>
      </c>
      <c r="C15" s="47">
        <v>50</v>
      </c>
      <c r="D15" s="47" t="s">
        <v>223</v>
      </c>
      <c r="E15" s="49" t="s">
        <v>224</v>
      </c>
      <c r="F15" s="47" t="str">
        <f t="shared" si="0"/>
        <v>Adult</v>
      </c>
    </row>
    <row r="16" spans="1:6" x14ac:dyDescent="0.25">
      <c r="A16" s="49" t="s">
        <v>241</v>
      </c>
      <c r="B16" s="49" t="s">
        <v>76</v>
      </c>
      <c r="C16" s="47">
        <v>67</v>
      </c>
      <c r="D16" s="47" t="s">
        <v>223</v>
      </c>
      <c r="E16" s="49" t="s">
        <v>226</v>
      </c>
      <c r="F16" s="47" t="str">
        <f t="shared" si="0"/>
        <v>Senior Citizen</v>
      </c>
    </row>
    <row r="17" spans="1:6" x14ac:dyDescent="0.25">
      <c r="A17" s="49" t="s">
        <v>242</v>
      </c>
      <c r="B17" s="49" t="s">
        <v>77</v>
      </c>
      <c r="C17" s="47">
        <v>26</v>
      </c>
      <c r="D17" s="47" t="s">
        <v>220</v>
      </c>
      <c r="E17" s="49" t="s">
        <v>229</v>
      </c>
      <c r="F17" s="47" t="str">
        <f t="shared" si="0"/>
        <v>Adult</v>
      </c>
    </row>
    <row r="18" spans="1:6" x14ac:dyDescent="0.25">
      <c r="A18" s="49" t="s">
        <v>243</v>
      </c>
      <c r="B18" s="49" t="s">
        <v>78</v>
      </c>
      <c r="C18" s="47">
        <v>16</v>
      </c>
      <c r="D18" s="47" t="s">
        <v>223</v>
      </c>
      <c r="E18" s="49" t="s">
        <v>221</v>
      </c>
      <c r="F18" s="47" t="str">
        <f t="shared" si="0"/>
        <v>Minor</v>
      </c>
    </row>
    <row r="19" spans="1:6" x14ac:dyDescent="0.25">
      <c r="A19" s="49" t="s">
        <v>244</v>
      </c>
      <c r="B19" s="49" t="s">
        <v>79</v>
      </c>
      <c r="C19" s="47">
        <v>39</v>
      </c>
      <c r="D19" s="47" t="s">
        <v>223</v>
      </c>
      <c r="E19" s="49" t="s">
        <v>224</v>
      </c>
      <c r="F19" s="47" t="str">
        <f t="shared" si="0"/>
        <v>Adult</v>
      </c>
    </row>
    <row r="20" spans="1:6" x14ac:dyDescent="0.25">
      <c r="A20" s="49" t="s">
        <v>245</v>
      </c>
      <c r="B20" s="49" t="s">
        <v>80</v>
      </c>
      <c r="C20" s="47">
        <v>34</v>
      </c>
      <c r="D20" s="47" t="s">
        <v>220</v>
      </c>
      <c r="E20" s="49" t="s">
        <v>226</v>
      </c>
      <c r="F20" s="47" t="str">
        <f t="shared" si="0"/>
        <v>Adult</v>
      </c>
    </row>
    <row r="21" spans="1:6" x14ac:dyDescent="0.25">
      <c r="A21" s="49" t="s">
        <v>246</v>
      </c>
      <c r="B21" s="49" t="s">
        <v>81</v>
      </c>
      <c r="C21" s="47">
        <v>28</v>
      </c>
      <c r="D21" s="47" t="s">
        <v>220</v>
      </c>
      <c r="E21" s="49" t="s">
        <v>229</v>
      </c>
      <c r="F21" s="47" t="str">
        <f t="shared" si="0"/>
        <v>Adult</v>
      </c>
    </row>
  </sheetData>
  <phoneticPr fontId="4" type="noConversion"/>
  <conditionalFormatting sqref="C2:C21">
    <cfRule type="cellIs" dxfId="9" priority="1" operator="lessThan">
      <formula>18</formula>
    </cfRule>
    <cfRule type="cellIs" dxfId="8" priority="2" operator="greaterThan">
      <formula>60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731-FFEB-4F59-9BEB-1412482ECBCA}">
  <dimension ref="A1:G21"/>
  <sheetViews>
    <sheetView workbookViewId="0">
      <selection activeCell="A6" sqref="A6:A21"/>
    </sheetView>
  </sheetViews>
  <sheetFormatPr defaultRowHeight="15" x14ac:dyDescent="0.25"/>
  <cols>
    <col min="1" max="1" width="9.5703125" bestFit="1" customWidth="1"/>
    <col min="2" max="2" width="13.7109375" bestFit="1" customWidth="1"/>
    <col min="3" max="3" width="5.7109375" bestFit="1" customWidth="1"/>
    <col min="4" max="4" width="11.140625" bestFit="1" customWidth="1"/>
    <col min="5" max="5" width="8.7109375" bestFit="1" customWidth="1"/>
    <col min="6" max="6" width="15.85546875" bestFit="1" customWidth="1"/>
    <col min="7" max="7" width="10.42578125" bestFit="1" customWidth="1"/>
  </cols>
  <sheetData>
    <row r="1" spans="1:7" s="41" customFormat="1" x14ac:dyDescent="0.25">
      <c r="A1" s="50" t="s">
        <v>201</v>
      </c>
      <c r="B1" s="50" t="s">
        <v>247</v>
      </c>
      <c r="C1" s="50" t="s">
        <v>248</v>
      </c>
      <c r="D1" s="50" t="s">
        <v>249</v>
      </c>
      <c r="E1" s="50" t="s">
        <v>254</v>
      </c>
      <c r="F1" s="50" t="s">
        <v>255</v>
      </c>
      <c r="G1" s="50" t="s">
        <v>256</v>
      </c>
    </row>
    <row r="2" spans="1:7" x14ac:dyDescent="0.25">
      <c r="A2" s="49" t="s">
        <v>204</v>
      </c>
      <c r="B2" s="49" t="s">
        <v>250</v>
      </c>
      <c r="C2" s="49">
        <v>2</v>
      </c>
      <c r="D2" s="49">
        <v>350</v>
      </c>
      <c r="E2" s="49">
        <f>D2*C2</f>
        <v>700</v>
      </c>
      <c r="F2" s="49" t="str">
        <f>IF(E2&gt;1000, "Discount Eligible", "Regular Booking")</f>
        <v>Regular Booking</v>
      </c>
      <c r="G2" s="49" t="str">
        <f>CONCATENATE(UPPER(LEFT(A2,2)),"-",C2)</f>
        <v>AM-2</v>
      </c>
    </row>
    <row r="3" spans="1:7" x14ac:dyDescent="0.25">
      <c r="A3" s="49" t="s">
        <v>209</v>
      </c>
      <c r="B3" s="49" t="s">
        <v>251</v>
      </c>
      <c r="C3" s="49">
        <v>5</v>
      </c>
      <c r="D3" s="49">
        <v>280</v>
      </c>
      <c r="E3" s="49">
        <f t="shared" ref="E3:E21" si="0">D3*C3</f>
        <v>1400</v>
      </c>
      <c r="F3" s="49" t="str">
        <f t="shared" ref="F3:F21" si="1">IF(E3&gt;1000, "Discount Eligible", "Regular Booking")</f>
        <v>Discount Eligible</v>
      </c>
      <c r="G3" s="49" t="str">
        <f t="shared" ref="G3:G21" si="2">CONCATENATE(UPPER(LEFT(A3,2)),"-",C3)</f>
        <v>RA-5</v>
      </c>
    </row>
    <row r="4" spans="1:7" x14ac:dyDescent="0.25">
      <c r="A4" s="49" t="s">
        <v>206</v>
      </c>
      <c r="B4" s="49" t="s">
        <v>252</v>
      </c>
      <c r="C4" s="49">
        <v>3</v>
      </c>
      <c r="D4" s="49">
        <v>400</v>
      </c>
      <c r="E4" s="49">
        <f t="shared" si="0"/>
        <v>1200</v>
      </c>
      <c r="F4" s="49" t="str">
        <f t="shared" si="1"/>
        <v>Discount Eligible</v>
      </c>
      <c r="G4" s="49" t="str">
        <f t="shared" si="2"/>
        <v>NE-3</v>
      </c>
    </row>
    <row r="5" spans="1:7" x14ac:dyDescent="0.25">
      <c r="A5" s="49" t="s">
        <v>210</v>
      </c>
      <c r="B5" s="49" t="s">
        <v>253</v>
      </c>
      <c r="C5" s="49">
        <v>1</v>
      </c>
      <c r="D5" s="49">
        <v>500</v>
      </c>
      <c r="E5" s="49">
        <f t="shared" si="0"/>
        <v>500</v>
      </c>
      <c r="F5" s="49" t="str">
        <f t="shared" si="1"/>
        <v>Regular Booking</v>
      </c>
      <c r="G5" s="49" t="str">
        <f t="shared" si="2"/>
        <v>PR-1</v>
      </c>
    </row>
    <row r="6" spans="1:7" x14ac:dyDescent="0.25">
      <c r="A6" s="49" t="s">
        <v>161</v>
      </c>
      <c r="B6" s="49" t="s">
        <v>250</v>
      </c>
      <c r="C6" s="49">
        <v>4</v>
      </c>
      <c r="D6" s="49">
        <v>391</v>
      </c>
      <c r="E6" s="49">
        <f t="shared" si="0"/>
        <v>1564</v>
      </c>
      <c r="F6" s="49" t="str">
        <f t="shared" si="1"/>
        <v>Discount Eligible</v>
      </c>
      <c r="G6" s="49" t="str">
        <f t="shared" si="2"/>
        <v>FA-4</v>
      </c>
    </row>
    <row r="7" spans="1:7" x14ac:dyDescent="0.25">
      <c r="A7" s="49" t="s">
        <v>166</v>
      </c>
      <c r="B7" s="49" t="s">
        <v>253</v>
      </c>
      <c r="C7" s="49">
        <v>5</v>
      </c>
      <c r="D7" s="49">
        <v>492</v>
      </c>
      <c r="E7" s="49">
        <f t="shared" si="0"/>
        <v>2460</v>
      </c>
      <c r="F7" s="49" t="str">
        <f t="shared" si="1"/>
        <v>Discount Eligible</v>
      </c>
      <c r="G7" s="49" t="str">
        <f t="shared" si="2"/>
        <v>MO-5</v>
      </c>
    </row>
    <row r="8" spans="1:7" x14ac:dyDescent="0.25">
      <c r="A8" s="49" t="s">
        <v>57</v>
      </c>
      <c r="B8" s="49" t="s">
        <v>252</v>
      </c>
      <c r="C8" s="49">
        <v>5</v>
      </c>
      <c r="D8" s="49">
        <v>390</v>
      </c>
      <c r="E8" s="49">
        <f t="shared" si="0"/>
        <v>1950</v>
      </c>
      <c r="F8" s="49" t="str">
        <f t="shared" si="1"/>
        <v>Discount Eligible</v>
      </c>
      <c r="G8" s="49" t="str">
        <f t="shared" si="2"/>
        <v>RA-5</v>
      </c>
    </row>
    <row r="9" spans="1:7" x14ac:dyDescent="0.25">
      <c r="A9" s="49" t="s">
        <v>69</v>
      </c>
      <c r="B9" s="49" t="s">
        <v>253</v>
      </c>
      <c r="C9" s="49">
        <v>3</v>
      </c>
      <c r="D9" s="49">
        <v>438</v>
      </c>
      <c r="E9" s="49">
        <f t="shared" si="0"/>
        <v>1314</v>
      </c>
      <c r="F9" s="49" t="str">
        <f t="shared" si="1"/>
        <v>Discount Eligible</v>
      </c>
      <c r="G9" s="49" t="str">
        <f t="shared" si="2"/>
        <v>KI-3</v>
      </c>
    </row>
    <row r="10" spans="1:7" x14ac:dyDescent="0.25">
      <c r="A10" s="49" t="s">
        <v>70</v>
      </c>
      <c r="B10" s="49" t="s">
        <v>250</v>
      </c>
      <c r="C10" s="49">
        <v>2</v>
      </c>
      <c r="D10" s="49">
        <v>434</v>
      </c>
      <c r="E10" s="49">
        <f t="shared" si="0"/>
        <v>868</v>
      </c>
      <c r="F10" s="49" t="str">
        <f t="shared" si="1"/>
        <v>Regular Booking</v>
      </c>
      <c r="G10" s="49" t="str">
        <f t="shared" si="2"/>
        <v>JU-2</v>
      </c>
    </row>
    <row r="11" spans="1:7" x14ac:dyDescent="0.25">
      <c r="A11" s="49" t="s">
        <v>71</v>
      </c>
      <c r="B11" s="49" t="s">
        <v>251</v>
      </c>
      <c r="C11" s="49">
        <v>4</v>
      </c>
      <c r="D11" s="49">
        <v>434</v>
      </c>
      <c r="E11" s="49">
        <f t="shared" si="0"/>
        <v>1736</v>
      </c>
      <c r="F11" s="49" t="str">
        <f t="shared" si="1"/>
        <v>Discount Eligible</v>
      </c>
      <c r="G11" s="49" t="str">
        <f t="shared" si="2"/>
        <v>RU-4</v>
      </c>
    </row>
    <row r="12" spans="1:7" x14ac:dyDescent="0.25">
      <c r="A12" s="49" t="s">
        <v>72</v>
      </c>
      <c r="B12" s="49" t="s">
        <v>252</v>
      </c>
      <c r="C12" s="49">
        <v>4</v>
      </c>
      <c r="D12" s="49">
        <v>267</v>
      </c>
      <c r="E12" s="49">
        <f t="shared" si="0"/>
        <v>1068</v>
      </c>
      <c r="F12" s="49" t="str">
        <f t="shared" si="1"/>
        <v>Discount Eligible</v>
      </c>
      <c r="G12" s="49" t="str">
        <f t="shared" si="2"/>
        <v>BA-4</v>
      </c>
    </row>
    <row r="13" spans="1:7" x14ac:dyDescent="0.25">
      <c r="A13" s="49" t="s">
        <v>73</v>
      </c>
      <c r="B13" s="49" t="s">
        <v>253</v>
      </c>
      <c r="C13" s="49">
        <v>3</v>
      </c>
      <c r="D13" s="49">
        <v>383</v>
      </c>
      <c r="E13" s="49">
        <f t="shared" si="0"/>
        <v>1149</v>
      </c>
      <c r="F13" s="49" t="str">
        <f t="shared" si="1"/>
        <v>Discount Eligible</v>
      </c>
      <c r="G13" s="49" t="str">
        <f t="shared" si="2"/>
        <v>HI-3</v>
      </c>
    </row>
    <row r="14" spans="1:7" x14ac:dyDescent="0.25">
      <c r="A14" s="49" t="s">
        <v>74</v>
      </c>
      <c r="B14" s="49" t="s">
        <v>250</v>
      </c>
      <c r="C14" s="49">
        <v>3</v>
      </c>
      <c r="D14" s="49">
        <v>459</v>
      </c>
      <c r="E14" s="49">
        <f t="shared" si="0"/>
        <v>1377</v>
      </c>
      <c r="F14" s="49" t="str">
        <f t="shared" si="1"/>
        <v>Discount Eligible</v>
      </c>
      <c r="G14" s="49" t="str">
        <f t="shared" si="2"/>
        <v>KE-3</v>
      </c>
    </row>
    <row r="15" spans="1:7" x14ac:dyDescent="0.25">
      <c r="A15" s="49" t="s">
        <v>75</v>
      </c>
      <c r="B15" s="49" t="s">
        <v>251</v>
      </c>
      <c r="C15" s="49">
        <v>3</v>
      </c>
      <c r="D15" s="49">
        <v>402</v>
      </c>
      <c r="E15" s="49">
        <f t="shared" si="0"/>
        <v>1206</v>
      </c>
      <c r="F15" s="49" t="str">
        <f t="shared" si="1"/>
        <v>Discount Eligible</v>
      </c>
      <c r="G15" s="49" t="str">
        <f t="shared" si="2"/>
        <v>YE-3</v>
      </c>
    </row>
    <row r="16" spans="1:7" x14ac:dyDescent="0.25">
      <c r="A16" s="49" t="s">
        <v>76</v>
      </c>
      <c r="B16" s="49" t="s">
        <v>252</v>
      </c>
      <c r="C16" s="49">
        <v>1</v>
      </c>
      <c r="D16" s="49">
        <v>379</v>
      </c>
      <c r="E16" s="49">
        <f t="shared" si="0"/>
        <v>379</v>
      </c>
      <c r="F16" s="49" t="str">
        <f t="shared" si="1"/>
        <v>Regular Booking</v>
      </c>
      <c r="G16" s="49" t="str">
        <f t="shared" si="2"/>
        <v>RA-1</v>
      </c>
    </row>
    <row r="17" spans="1:7" x14ac:dyDescent="0.25">
      <c r="A17" s="49" t="s">
        <v>77</v>
      </c>
      <c r="B17" s="49" t="s">
        <v>253</v>
      </c>
      <c r="C17" s="49">
        <v>4</v>
      </c>
      <c r="D17" s="49">
        <v>262</v>
      </c>
      <c r="E17" s="49">
        <f t="shared" si="0"/>
        <v>1048</v>
      </c>
      <c r="F17" s="49" t="str">
        <f t="shared" si="1"/>
        <v>Discount Eligible</v>
      </c>
      <c r="G17" s="49" t="str">
        <f t="shared" si="2"/>
        <v>HA-4</v>
      </c>
    </row>
    <row r="18" spans="1:7" x14ac:dyDescent="0.25">
      <c r="A18" s="49" t="s">
        <v>78</v>
      </c>
      <c r="B18" s="49" t="s">
        <v>250</v>
      </c>
      <c r="C18" s="49">
        <v>2</v>
      </c>
      <c r="D18" s="49">
        <v>309</v>
      </c>
      <c r="E18" s="49">
        <f t="shared" si="0"/>
        <v>618</v>
      </c>
      <c r="F18" s="49" t="str">
        <f t="shared" si="1"/>
        <v>Regular Booking</v>
      </c>
      <c r="G18" s="49" t="str">
        <f t="shared" si="2"/>
        <v>PA-2</v>
      </c>
    </row>
    <row r="19" spans="1:7" x14ac:dyDescent="0.25">
      <c r="A19" s="49" t="s">
        <v>79</v>
      </c>
      <c r="B19" s="49" t="s">
        <v>251</v>
      </c>
      <c r="C19" s="49">
        <v>5</v>
      </c>
      <c r="D19" s="49">
        <v>424</v>
      </c>
      <c r="E19" s="49">
        <f t="shared" si="0"/>
        <v>2120</v>
      </c>
      <c r="F19" s="49" t="str">
        <f t="shared" si="1"/>
        <v>Discount Eligible</v>
      </c>
      <c r="G19" s="49" t="str">
        <f t="shared" si="2"/>
        <v>DH-5</v>
      </c>
    </row>
    <row r="20" spans="1:7" x14ac:dyDescent="0.25">
      <c r="A20" s="49" t="s">
        <v>80</v>
      </c>
      <c r="B20" s="49" t="s">
        <v>252</v>
      </c>
      <c r="C20" s="49">
        <v>3</v>
      </c>
      <c r="D20" s="49">
        <v>373</v>
      </c>
      <c r="E20" s="49">
        <f t="shared" si="0"/>
        <v>1119</v>
      </c>
      <c r="F20" s="49" t="str">
        <f t="shared" si="1"/>
        <v>Discount Eligible</v>
      </c>
      <c r="G20" s="49" t="str">
        <f t="shared" si="2"/>
        <v>KR-3</v>
      </c>
    </row>
    <row r="21" spans="1:7" x14ac:dyDescent="0.25">
      <c r="A21" s="49" t="s">
        <v>81</v>
      </c>
      <c r="B21" s="49" t="s">
        <v>250</v>
      </c>
      <c r="C21" s="49">
        <v>5</v>
      </c>
      <c r="D21" s="49">
        <v>462</v>
      </c>
      <c r="E21" s="49">
        <f t="shared" si="0"/>
        <v>2310</v>
      </c>
      <c r="F21" s="49" t="str">
        <f t="shared" si="1"/>
        <v>Discount Eligible</v>
      </c>
      <c r="G21" s="49" t="str">
        <f t="shared" si="2"/>
        <v>HA-5</v>
      </c>
    </row>
  </sheetData>
  <conditionalFormatting sqref="E2:E21">
    <cfRule type="cellIs" dxfId="7" priority="1" operator="greaterThan">
      <formula>1000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F7FC-A58C-4774-9E9D-F3F828E7E260}">
  <dimension ref="A1:H21"/>
  <sheetViews>
    <sheetView workbookViewId="0">
      <selection sqref="A1:XFD1"/>
    </sheetView>
  </sheetViews>
  <sheetFormatPr defaultRowHeight="15" x14ac:dyDescent="0.25"/>
  <cols>
    <col min="1" max="1" width="7.7109375" bestFit="1" customWidth="1"/>
    <col min="2" max="2" width="19.85546875" bestFit="1" customWidth="1"/>
    <col min="3" max="3" width="10.140625" bestFit="1" customWidth="1"/>
    <col min="4" max="4" width="11.5703125" bestFit="1" customWidth="1"/>
    <col min="5" max="5" width="11.42578125" bestFit="1" customWidth="1"/>
    <col min="6" max="6" width="17.42578125" bestFit="1" customWidth="1"/>
    <col min="7" max="7" width="29.140625" bestFit="1" customWidth="1"/>
    <col min="8" max="8" width="12.140625" bestFit="1" customWidth="1"/>
  </cols>
  <sheetData>
    <row r="1" spans="1:8" s="41" customFormat="1" x14ac:dyDescent="0.25">
      <c r="A1" s="41" t="s">
        <v>257</v>
      </c>
      <c r="B1" s="41" t="s">
        <v>258</v>
      </c>
      <c r="C1" s="41" t="s">
        <v>259</v>
      </c>
      <c r="D1" s="41" t="s">
        <v>260</v>
      </c>
      <c r="E1" s="41" t="s">
        <v>284</v>
      </c>
      <c r="F1" s="41" t="s">
        <v>285</v>
      </c>
      <c r="G1" s="41" t="s">
        <v>286</v>
      </c>
      <c r="H1" s="41" t="s">
        <v>287</v>
      </c>
    </row>
    <row r="2" spans="1:8" x14ac:dyDescent="0.25">
      <c r="A2" t="s">
        <v>261</v>
      </c>
      <c r="B2" t="s">
        <v>262</v>
      </c>
      <c r="C2" s="52">
        <v>46204</v>
      </c>
      <c r="D2" s="52">
        <v>46211</v>
      </c>
      <c r="E2">
        <f>D2-C2</f>
        <v>7</v>
      </c>
      <c r="F2" t="str">
        <f>IF(E2&lt;=7, "Returned On Time","Late Return")</f>
        <v>Returned On Time</v>
      </c>
      <c r="G2" t="str">
        <f>LEFT(B2, FIND(" ",B2)-1)</f>
        <v>Python</v>
      </c>
      <c r="H2" t="str">
        <f>_xlfn.CONCAT(A2,"-",G2)</f>
        <v>B101-Python</v>
      </c>
    </row>
    <row r="3" spans="1:8" x14ac:dyDescent="0.25">
      <c r="A3" t="s">
        <v>263</v>
      </c>
      <c r="B3" t="s">
        <v>264</v>
      </c>
      <c r="C3" s="52">
        <v>46205</v>
      </c>
      <c r="D3" s="52">
        <v>46221</v>
      </c>
      <c r="E3">
        <f t="shared" ref="E3:E21" si="0">D3-C3</f>
        <v>16</v>
      </c>
      <c r="F3" t="str">
        <f t="shared" ref="F3:F21" si="1">IF(E3&lt;=7, "Returned On Time","Late Return")</f>
        <v>Late Return</v>
      </c>
      <c r="G3" t="str">
        <f t="shared" ref="G3:G21" si="2">LEFT(B3, FIND(" ",B3)-1)</f>
        <v>Java</v>
      </c>
      <c r="H3" t="str">
        <f t="shared" ref="H3:H21" si="3">_xlfn.CONCAT(A3,"-",G3)</f>
        <v>B102-Java</v>
      </c>
    </row>
    <row r="4" spans="1:8" x14ac:dyDescent="0.25">
      <c r="A4" t="s">
        <v>265</v>
      </c>
      <c r="B4" t="s">
        <v>264</v>
      </c>
      <c r="C4" s="52">
        <v>46208</v>
      </c>
      <c r="D4" s="52">
        <v>46215</v>
      </c>
      <c r="E4">
        <f t="shared" si="0"/>
        <v>7</v>
      </c>
      <c r="F4" t="str">
        <f t="shared" si="1"/>
        <v>Returned On Time</v>
      </c>
      <c r="G4" t="str">
        <f t="shared" si="2"/>
        <v>Java</v>
      </c>
      <c r="H4" t="str">
        <f t="shared" si="3"/>
        <v>B103-Java</v>
      </c>
    </row>
    <row r="5" spans="1:8" x14ac:dyDescent="0.25">
      <c r="A5" t="s">
        <v>267</v>
      </c>
      <c r="B5" t="s">
        <v>262</v>
      </c>
      <c r="C5" s="52">
        <v>46225</v>
      </c>
      <c r="D5" s="52">
        <v>46226</v>
      </c>
      <c r="E5">
        <f t="shared" si="0"/>
        <v>1</v>
      </c>
      <c r="F5" t="str">
        <f t="shared" si="1"/>
        <v>Returned On Time</v>
      </c>
      <c r="G5" t="str">
        <f t="shared" si="2"/>
        <v>Python</v>
      </c>
      <c r="H5" t="str">
        <f t="shared" si="3"/>
        <v>B104-Python</v>
      </c>
    </row>
    <row r="6" spans="1:8" x14ac:dyDescent="0.25">
      <c r="A6" t="s">
        <v>268</v>
      </c>
      <c r="B6" t="s">
        <v>264</v>
      </c>
      <c r="C6" s="52">
        <v>46210</v>
      </c>
      <c r="D6" s="52">
        <v>46212</v>
      </c>
      <c r="E6">
        <f t="shared" si="0"/>
        <v>2</v>
      </c>
      <c r="F6" t="str">
        <f t="shared" si="1"/>
        <v>Returned On Time</v>
      </c>
      <c r="G6" t="str">
        <f t="shared" si="2"/>
        <v>Java</v>
      </c>
      <c r="H6" t="str">
        <f t="shared" si="3"/>
        <v>B105-Java</v>
      </c>
    </row>
    <row r="7" spans="1:8" x14ac:dyDescent="0.25">
      <c r="A7" t="s">
        <v>269</v>
      </c>
      <c r="B7" t="s">
        <v>266</v>
      </c>
      <c r="C7" s="52">
        <v>46211</v>
      </c>
      <c r="D7" s="52">
        <v>46212</v>
      </c>
      <c r="E7">
        <f t="shared" si="0"/>
        <v>1</v>
      </c>
      <c r="F7" t="str">
        <f t="shared" si="1"/>
        <v>Returned On Time</v>
      </c>
      <c r="G7" t="str">
        <f t="shared" si="2"/>
        <v>SQL</v>
      </c>
      <c r="H7" t="str">
        <f t="shared" si="3"/>
        <v>B106-SQL</v>
      </c>
    </row>
    <row r="8" spans="1:8" x14ac:dyDescent="0.25">
      <c r="A8" t="s">
        <v>270</v>
      </c>
      <c r="B8" t="s">
        <v>262</v>
      </c>
      <c r="C8" s="52">
        <v>46212</v>
      </c>
      <c r="D8" s="52">
        <v>46214</v>
      </c>
      <c r="E8">
        <f t="shared" si="0"/>
        <v>2</v>
      </c>
      <c r="F8" t="str">
        <f t="shared" si="1"/>
        <v>Returned On Time</v>
      </c>
      <c r="G8" t="str">
        <f t="shared" si="2"/>
        <v>Python</v>
      </c>
      <c r="H8" t="str">
        <f t="shared" si="3"/>
        <v>B107-Python</v>
      </c>
    </row>
    <row r="9" spans="1:8" x14ac:dyDescent="0.25">
      <c r="A9" t="s">
        <v>271</v>
      </c>
      <c r="B9" t="s">
        <v>264</v>
      </c>
      <c r="C9" s="52">
        <v>46213</v>
      </c>
      <c r="D9" s="52">
        <v>46214</v>
      </c>
      <c r="E9">
        <f t="shared" si="0"/>
        <v>1</v>
      </c>
      <c r="F9" t="str">
        <f t="shared" si="1"/>
        <v>Returned On Time</v>
      </c>
      <c r="G9" t="str">
        <f t="shared" si="2"/>
        <v>Java</v>
      </c>
      <c r="H9" t="str">
        <f t="shared" si="3"/>
        <v>B108-Java</v>
      </c>
    </row>
    <row r="10" spans="1:8" x14ac:dyDescent="0.25">
      <c r="A10" t="s">
        <v>272</v>
      </c>
      <c r="B10" t="s">
        <v>266</v>
      </c>
      <c r="C10" s="52">
        <v>46214</v>
      </c>
      <c r="D10" s="52">
        <v>46216</v>
      </c>
      <c r="E10">
        <f t="shared" si="0"/>
        <v>2</v>
      </c>
      <c r="F10" t="str">
        <f t="shared" si="1"/>
        <v>Returned On Time</v>
      </c>
      <c r="G10" t="str">
        <f t="shared" si="2"/>
        <v>SQL</v>
      </c>
      <c r="H10" t="str">
        <f t="shared" si="3"/>
        <v>B109-SQL</v>
      </c>
    </row>
    <row r="11" spans="1:8" x14ac:dyDescent="0.25">
      <c r="A11" t="s">
        <v>273</v>
      </c>
      <c r="B11" t="s">
        <v>262</v>
      </c>
      <c r="C11" s="52">
        <v>46208</v>
      </c>
      <c r="D11" s="52">
        <v>46209</v>
      </c>
      <c r="E11">
        <f t="shared" si="0"/>
        <v>1</v>
      </c>
      <c r="F11" t="str">
        <f t="shared" si="1"/>
        <v>Returned On Time</v>
      </c>
      <c r="G11" t="str">
        <f t="shared" si="2"/>
        <v>Python</v>
      </c>
      <c r="H11" t="str">
        <f t="shared" si="3"/>
        <v>B110-Python</v>
      </c>
    </row>
    <row r="12" spans="1:8" x14ac:dyDescent="0.25">
      <c r="A12" t="s">
        <v>274</v>
      </c>
      <c r="B12" t="s">
        <v>264</v>
      </c>
      <c r="C12" s="52">
        <v>46216</v>
      </c>
      <c r="D12" s="52">
        <v>46218</v>
      </c>
      <c r="E12">
        <f t="shared" si="0"/>
        <v>2</v>
      </c>
      <c r="F12" t="str">
        <f t="shared" si="1"/>
        <v>Returned On Time</v>
      </c>
      <c r="G12" t="str">
        <f t="shared" si="2"/>
        <v>Java</v>
      </c>
      <c r="H12" t="str">
        <f t="shared" si="3"/>
        <v>B111-Java</v>
      </c>
    </row>
    <row r="13" spans="1:8" x14ac:dyDescent="0.25">
      <c r="A13" t="s">
        <v>275</v>
      </c>
      <c r="B13" t="s">
        <v>262</v>
      </c>
      <c r="C13" s="52">
        <v>46217</v>
      </c>
      <c r="D13" s="52">
        <v>46218</v>
      </c>
      <c r="E13">
        <f t="shared" si="0"/>
        <v>1</v>
      </c>
      <c r="F13" t="str">
        <f t="shared" si="1"/>
        <v>Returned On Time</v>
      </c>
      <c r="G13" t="str">
        <f t="shared" si="2"/>
        <v>Python</v>
      </c>
      <c r="H13" t="str">
        <f t="shared" si="3"/>
        <v>B112-Python</v>
      </c>
    </row>
    <row r="14" spans="1:8" x14ac:dyDescent="0.25">
      <c r="A14" t="s">
        <v>276</v>
      </c>
      <c r="B14" t="s">
        <v>262</v>
      </c>
      <c r="C14" s="52">
        <v>46218</v>
      </c>
      <c r="D14" s="52">
        <v>46220</v>
      </c>
      <c r="E14">
        <f t="shared" si="0"/>
        <v>2</v>
      </c>
      <c r="F14" t="str">
        <f t="shared" si="1"/>
        <v>Returned On Time</v>
      </c>
      <c r="G14" t="str">
        <f t="shared" si="2"/>
        <v>Python</v>
      </c>
      <c r="H14" t="str">
        <f t="shared" si="3"/>
        <v>B113-Python</v>
      </c>
    </row>
    <row r="15" spans="1:8" x14ac:dyDescent="0.25">
      <c r="A15" t="s">
        <v>277</v>
      </c>
      <c r="B15" t="s">
        <v>264</v>
      </c>
      <c r="C15" s="52">
        <v>46222</v>
      </c>
      <c r="D15" s="52">
        <v>46223</v>
      </c>
      <c r="E15">
        <f t="shared" si="0"/>
        <v>1</v>
      </c>
      <c r="F15" t="str">
        <f t="shared" si="1"/>
        <v>Returned On Time</v>
      </c>
      <c r="G15" t="str">
        <f t="shared" si="2"/>
        <v>Java</v>
      </c>
      <c r="H15" t="str">
        <f t="shared" si="3"/>
        <v>B114-Java</v>
      </c>
    </row>
    <row r="16" spans="1:8" x14ac:dyDescent="0.25">
      <c r="A16" t="s">
        <v>278</v>
      </c>
      <c r="B16" t="s">
        <v>266</v>
      </c>
      <c r="C16" s="52">
        <v>46220</v>
      </c>
      <c r="D16" s="52">
        <v>46222</v>
      </c>
      <c r="E16">
        <f t="shared" si="0"/>
        <v>2</v>
      </c>
      <c r="F16" t="str">
        <f t="shared" si="1"/>
        <v>Returned On Time</v>
      </c>
      <c r="G16" t="str">
        <f t="shared" si="2"/>
        <v>SQL</v>
      </c>
      <c r="H16" t="str">
        <f t="shared" si="3"/>
        <v>B115-SQL</v>
      </c>
    </row>
    <row r="17" spans="1:8" x14ac:dyDescent="0.25">
      <c r="A17" t="s">
        <v>279</v>
      </c>
      <c r="B17" t="s">
        <v>262</v>
      </c>
      <c r="C17" s="52">
        <v>46221</v>
      </c>
      <c r="D17" s="52">
        <v>46222</v>
      </c>
      <c r="E17">
        <f t="shared" si="0"/>
        <v>1</v>
      </c>
      <c r="F17" t="str">
        <f t="shared" si="1"/>
        <v>Returned On Time</v>
      </c>
      <c r="G17" t="str">
        <f t="shared" si="2"/>
        <v>Python</v>
      </c>
      <c r="H17" t="str">
        <f t="shared" si="3"/>
        <v>B116-Python</v>
      </c>
    </row>
    <row r="18" spans="1:8" x14ac:dyDescent="0.25">
      <c r="A18" t="s">
        <v>280</v>
      </c>
      <c r="B18" t="s">
        <v>264</v>
      </c>
      <c r="C18" s="52">
        <v>46222</v>
      </c>
      <c r="D18" s="52">
        <v>46224</v>
      </c>
      <c r="E18">
        <f t="shared" si="0"/>
        <v>2</v>
      </c>
      <c r="F18" t="str">
        <f t="shared" si="1"/>
        <v>Returned On Time</v>
      </c>
      <c r="G18" t="str">
        <f t="shared" si="2"/>
        <v>Java</v>
      </c>
      <c r="H18" t="str">
        <f t="shared" si="3"/>
        <v>B117-Java</v>
      </c>
    </row>
    <row r="19" spans="1:8" x14ac:dyDescent="0.25">
      <c r="A19" t="s">
        <v>281</v>
      </c>
      <c r="B19" t="s">
        <v>266</v>
      </c>
      <c r="C19" s="52">
        <v>46223</v>
      </c>
      <c r="D19" s="52">
        <v>46224</v>
      </c>
      <c r="E19">
        <f t="shared" si="0"/>
        <v>1</v>
      </c>
      <c r="F19" t="str">
        <f t="shared" si="1"/>
        <v>Returned On Time</v>
      </c>
      <c r="G19" t="str">
        <f t="shared" si="2"/>
        <v>SQL</v>
      </c>
      <c r="H19" t="str">
        <f t="shared" si="3"/>
        <v>B118-SQL</v>
      </c>
    </row>
    <row r="20" spans="1:8" x14ac:dyDescent="0.25">
      <c r="A20" t="s">
        <v>282</v>
      </c>
      <c r="B20" t="s">
        <v>262</v>
      </c>
      <c r="C20" s="52">
        <v>46224</v>
      </c>
      <c r="D20" s="52">
        <v>46226</v>
      </c>
      <c r="E20">
        <f t="shared" si="0"/>
        <v>2</v>
      </c>
      <c r="F20" t="str">
        <f t="shared" si="1"/>
        <v>Returned On Time</v>
      </c>
      <c r="G20" t="str">
        <f t="shared" si="2"/>
        <v>Python</v>
      </c>
      <c r="H20" t="str">
        <f t="shared" si="3"/>
        <v>B119-Python</v>
      </c>
    </row>
    <row r="21" spans="1:8" x14ac:dyDescent="0.25">
      <c r="A21" t="s">
        <v>283</v>
      </c>
      <c r="B21" t="s">
        <v>266</v>
      </c>
      <c r="C21" s="52">
        <v>46225</v>
      </c>
      <c r="D21" s="52">
        <v>46226</v>
      </c>
      <c r="E21">
        <f t="shared" si="0"/>
        <v>1</v>
      </c>
      <c r="F21" t="str">
        <f t="shared" si="1"/>
        <v>Returned On Time</v>
      </c>
      <c r="G21" t="str">
        <f t="shared" si="2"/>
        <v>SQL</v>
      </c>
      <c r="H21" t="str">
        <f t="shared" si="3"/>
        <v>B120-SQL</v>
      </c>
    </row>
  </sheetData>
  <phoneticPr fontId="4" type="noConversion"/>
  <conditionalFormatting sqref="E2:E21">
    <cfRule type="cellIs" dxfId="6" priority="1" operator="greaterThan">
      <formula>7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DCCE-E289-4DC8-B3C4-B69FA9527BA2}">
  <dimension ref="A1:H21"/>
  <sheetViews>
    <sheetView workbookViewId="0">
      <selection sqref="A1:XFD1"/>
    </sheetView>
  </sheetViews>
  <sheetFormatPr defaultRowHeight="15" x14ac:dyDescent="0.25"/>
  <cols>
    <col min="1" max="1" width="5.85546875" bestFit="1" customWidth="1"/>
    <col min="2" max="2" width="9.5703125" bestFit="1" customWidth="1"/>
    <col min="3" max="3" width="10" bestFit="1" customWidth="1"/>
    <col min="4" max="4" width="4.140625" bestFit="1" customWidth="1"/>
    <col min="5" max="5" width="5.42578125" bestFit="1" customWidth="1"/>
    <col min="6" max="6" width="8.7109375" bestFit="1" customWidth="1"/>
    <col min="7" max="7" width="15.28515625" bestFit="1" customWidth="1"/>
    <col min="8" max="8" width="16.28515625" bestFit="1" customWidth="1"/>
  </cols>
  <sheetData>
    <row r="1" spans="1:8" s="41" customFormat="1" x14ac:dyDescent="0.25">
      <c r="A1" s="41" t="s">
        <v>288</v>
      </c>
      <c r="B1" s="41" t="s">
        <v>201</v>
      </c>
      <c r="C1" s="41" t="s">
        <v>289</v>
      </c>
      <c r="D1" s="41" t="s">
        <v>202</v>
      </c>
      <c r="E1" s="41" t="s">
        <v>290</v>
      </c>
      <c r="F1" s="41" t="s">
        <v>254</v>
      </c>
      <c r="G1" s="41" t="s">
        <v>314</v>
      </c>
      <c r="H1" s="41" t="s">
        <v>315</v>
      </c>
    </row>
    <row r="2" spans="1:8" x14ac:dyDescent="0.25">
      <c r="A2" t="s">
        <v>291</v>
      </c>
      <c r="B2" t="s">
        <v>204</v>
      </c>
      <c r="C2" t="s">
        <v>292</v>
      </c>
      <c r="D2">
        <v>2</v>
      </c>
      <c r="E2">
        <v>350</v>
      </c>
      <c r="F2">
        <f>E2*D2</f>
        <v>700</v>
      </c>
      <c r="G2" t="str">
        <f>_xlfn.CONCAT(A2,"-",B2)</f>
        <v>T1-Amit</v>
      </c>
      <c r="H2" t="str">
        <f>UPPER(C2)</f>
        <v>PIZZA</v>
      </c>
    </row>
    <row r="3" spans="1:8" x14ac:dyDescent="0.25">
      <c r="A3" t="s">
        <v>293</v>
      </c>
      <c r="B3" t="s">
        <v>209</v>
      </c>
      <c r="C3" t="s">
        <v>294</v>
      </c>
      <c r="D3">
        <v>3</v>
      </c>
      <c r="E3">
        <v>180</v>
      </c>
      <c r="F3">
        <f t="shared" ref="F3:F21" si="0">E3*D3</f>
        <v>540</v>
      </c>
      <c r="G3" t="str">
        <f t="shared" ref="G3:G21" si="1">_xlfn.CONCAT(A3,"-",B3)</f>
        <v>T2-Ravi</v>
      </c>
      <c r="H3" t="str">
        <f t="shared" ref="H3:H21" si="2">UPPER(C3)</f>
        <v>BURGER</v>
      </c>
    </row>
    <row r="4" spans="1:8" x14ac:dyDescent="0.25">
      <c r="A4" t="s">
        <v>295</v>
      </c>
      <c r="B4" t="s">
        <v>210</v>
      </c>
      <c r="C4" t="s">
        <v>296</v>
      </c>
      <c r="D4">
        <v>1</v>
      </c>
      <c r="E4">
        <v>280</v>
      </c>
      <c r="F4">
        <f t="shared" si="0"/>
        <v>280</v>
      </c>
      <c r="G4" t="str">
        <f t="shared" si="1"/>
        <v>T3-Priya</v>
      </c>
      <c r="H4" t="str">
        <f t="shared" si="2"/>
        <v>PASTA</v>
      </c>
    </row>
    <row r="5" spans="1:8" x14ac:dyDescent="0.25">
      <c r="A5" t="s">
        <v>297</v>
      </c>
      <c r="B5" t="s">
        <v>206</v>
      </c>
      <c r="C5" t="s">
        <v>292</v>
      </c>
      <c r="D5">
        <v>4</v>
      </c>
      <c r="E5">
        <v>350</v>
      </c>
      <c r="F5">
        <f t="shared" si="0"/>
        <v>1400</v>
      </c>
      <c r="G5" t="str">
        <f t="shared" si="1"/>
        <v>T4-Neha</v>
      </c>
      <c r="H5" t="str">
        <f t="shared" si="2"/>
        <v>PIZZA</v>
      </c>
    </row>
    <row r="6" spans="1:8" x14ac:dyDescent="0.25">
      <c r="A6" t="s">
        <v>298</v>
      </c>
      <c r="B6" t="s">
        <v>161</v>
      </c>
      <c r="C6" t="s">
        <v>292</v>
      </c>
      <c r="D6">
        <v>1</v>
      </c>
      <c r="E6">
        <v>350</v>
      </c>
      <c r="F6">
        <f t="shared" si="0"/>
        <v>350</v>
      </c>
      <c r="G6" t="str">
        <f t="shared" si="1"/>
        <v>T5-Farhan</v>
      </c>
      <c r="H6" t="str">
        <f t="shared" si="2"/>
        <v>PIZZA</v>
      </c>
    </row>
    <row r="7" spans="1:8" x14ac:dyDescent="0.25">
      <c r="A7" t="s">
        <v>299</v>
      </c>
      <c r="B7" t="s">
        <v>166</v>
      </c>
      <c r="C7" t="s">
        <v>294</v>
      </c>
      <c r="D7">
        <v>3</v>
      </c>
      <c r="E7">
        <v>180</v>
      </c>
      <c r="F7">
        <f t="shared" si="0"/>
        <v>540</v>
      </c>
      <c r="G7" t="str">
        <f t="shared" si="1"/>
        <v>T6-Mohan</v>
      </c>
      <c r="H7" t="str">
        <f t="shared" si="2"/>
        <v>BURGER</v>
      </c>
    </row>
    <row r="8" spans="1:8" x14ac:dyDescent="0.25">
      <c r="A8" t="s">
        <v>300</v>
      </c>
      <c r="B8" t="s">
        <v>57</v>
      </c>
      <c r="C8" t="s">
        <v>296</v>
      </c>
      <c r="D8">
        <v>3</v>
      </c>
      <c r="E8">
        <v>280</v>
      </c>
      <c r="F8">
        <f t="shared" si="0"/>
        <v>840</v>
      </c>
      <c r="G8" t="str">
        <f t="shared" si="1"/>
        <v>T7-Raju</v>
      </c>
      <c r="H8" t="str">
        <f t="shared" si="2"/>
        <v>PASTA</v>
      </c>
    </row>
    <row r="9" spans="1:8" x14ac:dyDescent="0.25">
      <c r="A9" t="s">
        <v>301</v>
      </c>
      <c r="B9" t="s">
        <v>69</v>
      </c>
      <c r="C9" t="s">
        <v>292</v>
      </c>
      <c r="D9">
        <v>4</v>
      </c>
      <c r="E9">
        <v>350</v>
      </c>
      <c r="F9">
        <f t="shared" si="0"/>
        <v>1400</v>
      </c>
      <c r="G9" t="str">
        <f t="shared" si="1"/>
        <v>T8-Kishan</v>
      </c>
      <c r="H9" t="str">
        <f t="shared" si="2"/>
        <v>PIZZA</v>
      </c>
    </row>
    <row r="10" spans="1:8" x14ac:dyDescent="0.25">
      <c r="A10" t="s">
        <v>302</v>
      </c>
      <c r="B10" t="s">
        <v>70</v>
      </c>
      <c r="C10" t="s">
        <v>292</v>
      </c>
      <c r="D10">
        <v>2</v>
      </c>
      <c r="E10">
        <v>350</v>
      </c>
      <c r="F10">
        <f t="shared" si="0"/>
        <v>700</v>
      </c>
      <c r="G10" t="str">
        <f t="shared" si="1"/>
        <v>T9-Juhi</v>
      </c>
      <c r="H10" t="str">
        <f t="shared" si="2"/>
        <v>PIZZA</v>
      </c>
    </row>
    <row r="11" spans="1:8" x14ac:dyDescent="0.25">
      <c r="A11" t="s">
        <v>303</v>
      </c>
      <c r="B11" t="s">
        <v>71</v>
      </c>
      <c r="C11" t="s">
        <v>294</v>
      </c>
      <c r="D11">
        <v>3</v>
      </c>
      <c r="E11">
        <v>180</v>
      </c>
      <c r="F11">
        <f t="shared" si="0"/>
        <v>540</v>
      </c>
      <c r="G11" t="str">
        <f t="shared" si="1"/>
        <v>T10-Ruhi</v>
      </c>
      <c r="H11" t="str">
        <f t="shared" si="2"/>
        <v>BURGER</v>
      </c>
    </row>
    <row r="12" spans="1:8" x14ac:dyDescent="0.25">
      <c r="A12" t="s">
        <v>304</v>
      </c>
      <c r="B12" t="s">
        <v>72</v>
      </c>
      <c r="C12" t="s">
        <v>296</v>
      </c>
      <c r="D12">
        <v>1</v>
      </c>
      <c r="E12">
        <v>280</v>
      </c>
      <c r="F12">
        <f t="shared" si="0"/>
        <v>280</v>
      </c>
      <c r="G12" t="str">
        <f t="shared" si="1"/>
        <v>T11-Bappi</v>
      </c>
      <c r="H12" t="str">
        <f t="shared" si="2"/>
        <v>PASTA</v>
      </c>
    </row>
    <row r="13" spans="1:8" x14ac:dyDescent="0.25">
      <c r="A13" t="s">
        <v>305</v>
      </c>
      <c r="B13" t="s">
        <v>73</v>
      </c>
      <c r="C13" t="s">
        <v>292</v>
      </c>
      <c r="D13">
        <v>4</v>
      </c>
      <c r="E13">
        <v>350</v>
      </c>
      <c r="F13">
        <f t="shared" si="0"/>
        <v>1400</v>
      </c>
      <c r="G13" t="str">
        <f t="shared" si="1"/>
        <v>T12-Hitesh</v>
      </c>
      <c r="H13" t="str">
        <f t="shared" si="2"/>
        <v>PIZZA</v>
      </c>
    </row>
    <row r="14" spans="1:8" x14ac:dyDescent="0.25">
      <c r="A14" t="s">
        <v>306</v>
      </c>
      <c r="B14" t="s">
        <v>74</v>
      </c>
      <c r="C14" t="s">
        <v>292</v>
      </c>
      <c r="D14">
        <v>2</v>
      </c>
      <c r="E14">
        <v>350</v>
      </c>
      <c r="F14">
        <f t="shared" si="0"/>
        <v>700</v>
      </c>
      <c r="G14" t="str">
        <f t="shared" si="1"/>
        <v>T13-Kesha</v>
      </c>
      <c r="H14" t="str">
        <f t="shared" si="2"/>
        <v>PIZZA</v>
      </c>
    </row>
    <row r="15" spans="1:8" x14ac:dyDescent="0.25">
      <c r="A15" t="s">
        <v>307</v>
      </c>
      <c r="B15" t="s">
        <v>75</v>
      </c>
      <c r="C15" t="s">
        <v>294</v>
      </c>
      <c r="D15">
        <v>3</v>
      </c>
      <c r="E15">
        <v>180</v>
      </c>
      <c r="F15">
        <f t="shared" si="0"/>
        <v>540</v>
      </c>
      <c r="G15" t="str">
        <f t="shared" si="1"/>
        <v>T14-Yesha</v>
      </c>
      <c r="H15" t="str">
        <f t="shared" si="2"/>
        <v>BURGER</v>
      </c>
    </row>
    <row r="16" spans="1:8" x14ac:dyDescent="0.25">
      <c r="A16" t="s">
        <v>308</v>
      </c>
      <c r="B16" t="s">
        <v>76</v>
      </c>
      <c r="C16" t="s">
        <v>296</v>
      </c>
      <c r="D16">
        <v>3</v>
      </c>
      <c r="E16">
        <v>280</v>
      </c>
      <c r="F16">
        <f t="shared" si="0"/>
        <v>840</v>
      </c>
      <c r="G16" t="str">
        <f t="shared" si="1"/>
        <v>T15-Radha</v>
      </c>
      <c r="H16" t="str">
        <f t="shared" si="2"/>
        <v>PASTA</v>
      </c>
    </row>
    <row r="17" spans="1:8" x14ac:dyDescent="0.25">
      <c r="A17" t="s">
        <v>309</v>
      </c>
      <c r="B17" t="s">
        <v>77</v>
      </c>
      <c r="C17" t="s">
        <v>292</v>
      </c>
      <c r="D17">
        <v>2</v>
      </c>
      <c r="E17">
        <v>350</v>
      </c>
      <c r="F17">
        <f t="shared" si="0"/>
        <v>700</v>
      </c>
      <c r="G17" t="str">
        <f t="shared" si="1"/>
        <v>T16-Hari</v>
      </c>
      <c r="H17" t="str">
        <f t="shared" si="2"/>
        <v>PIZZA</v>
      </c>
    </row>
    <row r="18" spans="1:8" x14ac:dyDescent="0.25">
      <c r="A18" t="s">
        <v>310</v>
      </c>
      <c r="B18" t="s">
        <v>78</v>
      </c>
      <c r="C18" t="s">
        <v>292</v>
      </c>
      <c r="D18">
        <v>1</v>
      </c>
      <c r="E18">
        <v>350</v>
      </c>
      <c r="F18">
        <f t="shared" si="0"/>
        <v>350</v>
      </c>
      <c r="G18" t="str">
        <f t="shared" si="1"/>
        <v>T17-Pari</v>
      </c>
      <c r="H18" t="str">
        <f t="shared" si="2"/>
        <v>PIZZA</v>
      </c>
    </row>
    <row r="19" spans="1:8" x14ac:dyDescent="0.25">
      <c r="A19" t="s">
        <v>311</v>
      </c>
      <c r="B19" t="s">
        <v>79</v>
      </c>
      <c r="C19" t="s">
        <v>294</v>
      </c>
      <c r="D19">
        <v>2</v>
      </c>
      <c r="E19">
        <v>180</v>
      </c>
      <c r="F19">
        <f t="shared" si="0"/>
        <v>360</v>
      </c>
      <c r="G19" t="str">
        <f t="shared" si="1"/>
        <v>T18-Dhara</v>
      </c>
      <c r="H19" t="str">
        <f t="shared" si="2"/>
        <v>BURGER</v>
      </c>
    </row>
    <row r="20" spans="1:8" x14ac:dyDescent="0.25">
      <c r="A20" t="s">
        <v>312</v>
      </c>
      <c r="B20" t="s">
        <v>80</v>
      </c>
      <c r="C20" t="s">
        <v>296</v>
      </c>
      <c r="D20">
        <v>2</v>
      </c>
      <c r="E20">
        <v>280</v>
      </c>
      <c r="F20">
        <f t="shared" si="0"/>
        <v>560</v>
      </c>
      <c r="G20" t="str">
        <f t="shared" si="1"/>
        <v>T19-Krishna</v>
      </c>
      <c r="H20" t="str">
        <f t="shared" si="2"/>
        <v>PASTA</v>
      </c>
    </row>
    <row r="21" spans="1:8" x14ac:dyDescent="0.25">
      <c r="A21" t="s">
        <v>313</v>
      </c>
      <c r="B21" t="s">
        <v>81</v>
      </c>
      <c r="C21" t="s">
        <v>292</v>
      </c>
      <c r="D21">
        <v>1</v>
      </c>
      <c r="E21">
        <v>350</v>
      </c>
      <c r="F21">
        <f t="shared" si="0"/>
        <v>350</v>
      </c>
      <c r="G21" t="str">
        <f t="shared" si="1"/>
        <v>T20-Hanuman</v>
      </c>
      <c r="H21" t="str">
        <f t="shared" si="2"/>
        <v>PIZZA</v>
      </c>
    </row>
  </sheetData>
  <phoneticPr fontId="4" type="noConversion"/>
  <conditionalFormatting sqref="F2:F21">
    <cfRule type="cellIs" dxfId="5" priority="1" operator="greaterThan">
      <formula>1000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994A-45C2-4B09-931E-6741374DF0B0}">
  <dimension ref="A1:H21"/>
  <sheetViews>
    <sheetView workbookViewId="0">
      <selection activeCell="J10" sqref="J10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1.28515625" bestFit="1" customWidth="1"/>
    <col min="4" max="4" width="10.5703125" bestFit="1" customWidth="1"/>
    <col min="5" max="5" width="10.140625" bestFit="1" customWidth="1"/>
    <col min="6" max="6" width="27.7109375" bestFit="1" customWidth="1"/>
    <col min="7" max="7" width="14.42578125" bestFit="1" customWidth="1"/>
    <col min="8" max="8" width="14" bestFit="1" customWidth="1"/>
  </cols>
  <sheetData>
    <row r="1" spans="1:8" s="41" customFormat="1" x14ac:dyDescent="0.25">
      <c r="A1" s="41" t="s">
        <v>316</v>
      </c>
      <c r="B1" s="41" t="s">
        <v>317</v>
      </c>
      <c r="C1" s="41" t="s">
        <v>318</v>
      </c>
      <c r="D1" s="41" t="s">
        <v>365</v>
      </c>
      <c r="E1" s="41" t="s">
        <v>366</v>
      </c>
      <c r="F1" s="41" t="s">
        <v>367</v>
      </c>
      <c r="G1" s="41" t="s">
        <v>368</v>
      </c>
      <c r="H1" s="41" t="s">
        <v>369</v>
      </c>
    </row>
    <row r="2" spans="1:8" x14ac:dyDescent="0.25">
      <c r="A2" t="s">
        <v>319</v>
      </c>
      <c r="B2" t="s">
        <v>320</v>
      </c>
      <c r="C2" t="s">
        <v>321</v>
      </c>
      <c r="D2" t="str">
        <f>LEFT(A2,FIND(" ",A2)-1)</f>
        <v>Amit</v>
      </c>
      <c r="E2" t="str">
        <f>RIGHT(A2,LEN(A2)-FIND(" ",A2))</f>
        <v>Shah</v>
      </c>
      <c r="F2" t="str">
        <f>CONCATENATE(LOWER(D2),".",LOWER(E2),"@airport.com")</f>
        <v>amit.shah@airport.com</v>
      </c>
      <c r="G2" t="str">
        <f>LEFT(B2,1)</f>
        <v>M</v>
      </c>
      <c r="H2" t="str">
        <f>_xlfn.CONCAT(UPPER(LEFT(C2,3)),"-",B2)</f>
        <v>DUB-M123456</v>
      </c>
    </row>
    <row r="3" spans="1:8" x14ac:dyDescent="0.25">
      <c r="A3" t="s">
        <v>322</v>
      </c>
      <c r="B3" t="s">
        <v>323</v>
      </c>
      <c r="C3" t="s">
        <v>324</v>
      </c>
      <c r="D3" t="str">
        <f t="shared" ref="D3:D21" si="0">LEFT(A3,FIND(" ",A3)-1)</f>
        <v>Ravi</v>
      </c>
      <c r="E3" t="str">
        <f t="shared" ref="E3:E21" si="1">RIGHT(A3,LEN(A3)-FIND(" ",A3))</f>
        <v>Patel</v>
      </c>
      <c r="F3" t="str">
        <f t="shared" ref="F3:F21" si="2">CONCATENATE(LOWER(D3),".",LOWER(E3),"@airport.com")</f>
        <v>ravi.patel@airport.com</v>
      </c>
      <c r="G3" t="str">
        <f t="shared" ref="G3:G21" si="3">LEFT(B3,1)</f>
        <v>N</v>
      </c>
      <c r="H3" t="str">
        <f t="shared" ref="H3:H21" si="4">_xlfn.CONCAT(UPPER(LEFT(C3,3)),"-",B3)</f>
        <v>SIN-N654321</v>
      </c>
    </row>
    <row r="4" spans="1:8" x14ac:dyDescent="0.25">
      <c r="A4" t="s">
        <v>325</v>
      </c>
      <c r="B4" t="s">
        <v>326</v>
      </c>
      <c r="C4" t="s">
        <v>327</v>
      </c>
      <c r="D4" t="str">
        <f t="shared" si="0"/>
        <v>Neha</v>
      </c>
      <c r="E4" t="str">
        <f t="shared" si="1"/>
        <v>Joshi</v>
      </c>
      <c r="F4" t="str">
        <f t="shared" si="2"/>
        <v>neha.joshi@airport.com</v>
      </c>
      <c r="G4" t="str">
        <f t="shared" si="3"/>
        <v>P</v>
      </c>
      <c r="H4" t="str">
        <f t="shared" si="4"/>
        <v>LON-P987654</v>
      </c>
    </row>
    <row r="5" spans="1:8" x14ac:dyDescent="0.25">
      <c r="A5" t="s">
        <v>34</v>
      </c>
      <c r="B5" t="s">
        <v>352</v>
      </c>
      <c r="C5" t="s">
        <v>346</v>
      </c>
      <c r="D5" t="str">
        <f t="shared" si="0"/>
        <v>Raj</v>
      </c>
      <c r="E5" t="str">
        <f t="shared" si="1"/>
        <v>Shah</v>
      </c>
      <c r="F5" t="str">
        <f t="shared" si="2"/>
        <v>raj.shah@airport.com</v>
      </c>
      <c r="G5" t="str">
        <f t="shared" si="3"/>
        <v>M</v>
      </c>
      <c r="H5" t="str">
        <f t="shared" si="4"/>
        <v>KEN-M987655</v>
      </c>
    </row>
    <row r="6" spans="1:8" x14ac:dyDescent="0.25">
      <c r="A6" t="s">
        <v>36</v>
      </c>
      <c r="B6" t="s">
        <v>353</v>
      </c>
      <c r="C6" t="s">
        <v>324</v>
      </c>
      <c r="D6" t="str">
        <f t="shared" si="0"/>
        <v>Hitesh</v>
      </c>
      <c r="E6" t="str">
        <f t="shared" si="1"/>
        <v>Kodwani</v>
      </c>
      <c r="F6" t="str">
        <f t="shared" si="2"/>
        <v>hitesh.kodwani@airport.com</v>
      </c>
      <c r="G6" t="str">
        <f t="shared" si="3"/>
        <v>N</v>
      </c>
      <c r="H6" t="str">
        <f t="shared" si="4"/>
        <v>SIN-N987656</v>
      </c>
    </row>
    <row r="7" spans="1:8" x14ac:dyDescent="0.25">
      <c r="A7" t="s">
        <v>328</v>
      </c>
      <c r="B7" t="s">
        <v>348</v>
      </c>
      <c r="C7" t="s">
        <v>327</v>
      </c>
      <c r="D7" t="str">
        <f t="shared" si="0"/>
        <v>Jainil</v>
      </c>
      <c r="E7" t="str">
        <f t="shared" si="1"/>
        <v>Rupera</v>
      </c>
      <c r="F7" t="str">
        <f t="shared" si="2"/>
        <v>jainil.rupera@airport.com</v>
      </c>
      <c r="G7" t="str">
        <f t="shared" si="3"/>
        <v>P</v>
      </c>
      <c r="H7" t="str">
        <f t="shared" si="4"/>
        <v>LON-P987657</v>
      </c>
    </row>
    <row r="8" spans="1:8" x14ac:dyDescent="0.25">
      <c r="A8" t="s">
        <v>329</v>
      </c>
      <c r="B8" t="s">
        <v>354</v>
      </c>
      <c r="C8" t="s">
        <v>321</v>
      </c>
      <c r="D8" t="str">
        <f t="shared" si="0"/>
        <v>Tapan</v>
      </c>
      <c r="E8" t="str">
        <f t="shared" si="1"/>
        <v>Shukla</v>
      </c>
      <c r="F8" t="str">
        <f t="shared" si="2"/>
        <v>tapan.shukla@airport.com</v>
      </c>
      <c r="G8" t="str">
        <f t="shared" si="3"/>
        <v>M</v>
      </c>
      <c r="H8" t="str">
        <f t="shared" si="4"/>
        <v>DUB-M987658</v>
      </c>
    </row>
    <row r="9" spans="1:8" x14ac:dyDescent="0.25">
      <c r="A9" t="s">
        <v>330</v>
      </c>
      <c r="B9" t="s">
        <v>355</v>
      </c>
      <c r="C9" t="s">
        <v>345</v>
      </c>
      <c r="D9" t="str">
        <f t="shared" si="0"/>
        <v>Tapan</v>
      </c>
      <c r="E9" t="str">
        <f t="shared" si="1"/>
        <v>Shah</v>
      </c>
      <c r="F9" t="str">
        <f t="shared" si="2"/>
        <v>tapan.shah@airport.com</v>
      </c>
      <c r="G9" t="str">
        <f t="shared" si="3"/>
        <v>N</v>
      </c>
      <c r="H9" t="str">
        <f t="shared" si="4"/>
        <v>CAN-N987659</v>
      </c>
    </row>
    <row r="10" spans="1:8" x14ac:dyDescent="0.25">
      <c r="A10" t="s">
        <v>331</v>
      </c>
      <c r="B10" t="s">
        <v>356</v>
      </c>
      <c r="C10" t="s">
        <v>327</v>
      </c>
      <c r="D10" t="str">
        <f t="shared" si="0"/>
        <v>Rajvi</v>
      </c>
      <c r="E10" t="str">
        <f t="shared" si="1"/>
        <v>Parmar</v>
      </c>
      <c r="F10" t="str">
        <f t="shared" si="2"/>
        <v>rajvi.parmar@airport.com</v>
      </c>
      <c r="G10" t="str">
        <f t="shared" si="3"/>
        <v>M</v>
      </c>
      <c r="H10" t="str">
        <f t="shared" si="4"/>
        <v>LON-M987660</v>
      </c>
    </row>
    <row r="11" spans="1:8" x14ac:dyDescent="0.25">
      <c r="A11" t="s">
        <v>332</v>
      </c>
      <c r="B11" t="s">
        <v>357</v>
      </c>
      <c r="C11" t="s">
        <v>321</v>
      </c>
      <c r="D11" t="str">
        <f t="shared" si="0"/>
        <v>Ruhi</v>
      </c>
      <c r="E11" t="str">
        <f t="shared" si="1"/>
        <v>Jain</v>
      </c>
      <c r="F11" t="str">
        <f t="shared" si="2"/>
        <v>ruhi.jain@airport.com</v>
      </c>
      <c r="G11" t="str">
        <f t="shared" si="3"/>
        <v>N</v>
      </c>
      <c r="H11" t="str">
        <f t="shared" si="4"/>
        <v>DUB-N987661</v>
      </c>
    </row>
    <row r="12" spans="1:8" x14ac:dyDescent="0.25">
      <c r="A12" t="s">
        <v>333</v>
      </c>
      <c r="B12" t="s">
        <v>358</v>
      </c>
      <c r="C12" t="s">
        <v>324</v>
      </c>
      <c r="D12" t="str">
        <f t="shared" si="0"/>
        <v>Pankaj</v>
      </c>
      <c r="E12" t="str">
        <f t="shared" si="1"/>
        <v>Odiya</v>
      </c>
      <c r="F12" t="str">
        <f t="shared" si="2"/>
        <v>pankaj.odiya@airport.com</v>
      </c>
      <c r="G12" t="str">
        <f t="shared" si="3"/>
        <v>M</v>
      </c>
      <c r="H12" t="str">
        <f t="shared" si="4"/>
        <v>SIN-M987662</v>
      </c>
    </row>
    <row r="13" spans="1:8" x14ac:dyDescent="0.25">
      <c r="A13" t="s">
        <v>334</v>
      </c>
      <c r="B13" t="s">
        <v>359</v>
      </c>
      <c r="C13" t="s">
        <v>327</v>
      </c>
      <c r="D13" t="str">
        <f t="shared" si="0"/>
        <v>Nirav</v>
      </c>
      <c r="E13" t="str">
        <f t="shared" si="1"/>
        <v>Vora</v>
      </c>
      <c r="F13" t="str">
        <f t="shared" si="2"/>
        <v>nirav.vora@airport.com</v>
      </c>
      <c r="G13" t="str">
        <f t="shared" si="3"/>
        <v>N</v>
      </c>
      <c r="H13" t="str">
        <f t="shared" si="4"/>
        <v>LON-N987663</v>
      </c>
    </row>
    <row r="14" spans="1:8" x14ac:dyDescent="0.25">
      <c r="A14" t="s">
        <v>335</v>
      </c>
      <c r="B14" t="s">
        <v>349</v>
      </c>
      <c r="C14" t="s">
        <v>321</v>
      </c>
      <c r="D14" t="str">
        <f t="shared" si="0"/>
        <v>Dushyant</v>
      </c>
      <c r="E14" t="str">
        <f t="shared" si="1"/>
        <v>Vats</v>
      </c>
      <c r="F14" t="str">
        <f t="shared" si="2"/>
        <v>dushyant.vats@airport.com</v>
      </c>
      <c r="G14" t="str">
        <f t="shared" si="3"/>
        <v>P</v>
      </c>
      <c r="H14" t="str">
        <f t="shared" si="4"/>
        <v>DUB-P987664</v>
      </c>
    </row>
    <row r="15" spans="1:8" x14ac:dyDescent="0.25">
      <c r="A15" t="s">
        <v>336</v>
      </c>
      <c r="B15" t="s">
        <v>360</v>
      </c>
      <c r="C15" t="s">
        <v>324</v>
      </c>
      <c r="D15" t="str">
        <f t="shared" si="0"/>
        <v>Kiran</v>
      </c>
      <c r="E15" t="str">
        <f t="shared" si="1"/>
        <v>Gohil</v>
      </c>
      <c r="F15" t="str">
        <f t="shared" si="2"/>
        <v>kiran.gohil@airport.com</v>
      </c>
      <c r="G15" t="str">
        <f t="shared" si="3"/>
        <v>M</v>
      </c>
      <c r="H15" t="str">
        <f t="shared" si="4"/>
        <v>SIN-M987665</v>
      </c>
    </row>
    <row r="16" spans="1:8" x14ac:dyDescent="0.25">
      <c r="A16" t="s">
        <v>337</v>
      </c>
      <c r="B16" t="s">
        <v>361</v>
      </c>
      <c r="C16" t="s">
        <v>327</v>
      </c>
      <c r="D16" t="str">
        <f t="shared" si="0"/>
        <v>Karan</v>
      </c>
      <c r="E16" t="str">
        <f t="shared" si="1"/>
        <v>Sharma</v>
      </c>
      <c r="F16" t="str">
        <f t="shared" si="2"/>
        <v>karan.sharma@airport.com</v>
      </c>
      <c r="G16" t="str">
        <f t="shared" si="3"/>
        <v>N</v>
      </c>
      <c r="H16" t="str">
        <f t="shared" si="4"/>
        <v>LON-N987666</v>
      </c>
    </row>
    <row r="17" spans="1:8" x14ac:dyDescent="0.25">
      <c r="A17" t="s">
        <v>338</v>
      </c>
      <c r="B17" t="s">
        <v>350</v>
      </c>
      <c r="C17" t="s">
        <v>321</v>
      </c>
      <c r="D17" t="str">
        <f t="shared" si="0"/>
        <v>Bhoomi</v>
      </c>
      <c r="E17" t="str">
        <f t="shared" si="1"/>
        <v>Patel</v>
      </c>
      <c r="F17" t="str">
        <f t="shared" si="2"/>
        <v>bhoomi.patel@airport.com</v>
      </c>
      <c r="G17" t="str">
        <f t="shared" si="3"/>
        <v>P</v>
      </c>
      <c r="H17" t="str">
        <f t="shared" si="4"/>
        <v>DUB-P987667</v>
      </c>
    </row>
    <row r="18" spans="1:8" x14ac:dyDescent="0.25">
      <c r="A18" t="s">
        <v>339</v>
      </c>
      <c r="B18" t="s">
        <v>362</v>
      </c>
      <c r="C18" t="s">
        <v>324</v>
      </c>
      <c r="D18" t="str">
        <f t="shared" si="0"/>
        <v>Bhoomi</v>
      </c>
      <c r="E18" t="str">
        <f t="shared" si="1"/>
        <v>Thakkar</v>
      </c>
      <c r="F18" t="str">
        <f t="shared" si="2"/>
        <v>bhoomi.thakkar@airport.com</v>
      </c>
      <c r="G18" t="str">
        <f t="shared" si="3"/>
        <v>M</v>
      </c>
      <c r="H18" t="str">
        <f t="shared" si="4"/>
        <v>SIN-M987668</v>
      </c>
    </row>
    <row r="19" spans="1:8" x14ac:dyDescent="0.25">
      <c r="A19" t="s">
        <v>340</v>
      </c>
      <c r="B19" t="s">
        <v>363</v>
      </c>
      <c r="C19" t="s">
        <v>347</v>
      </c>
      <c r="D19" t="str">
        <f t="shared" si="0"/>
        <v>Bhavik</v>
      </c>
      <c r="E19" t="str">
        <f t="shared" si="1"/>
        <v>Parmar</v>
      </c>
      <c r="F19" t="str">
        <f t="shared" si="2"/>
        <v>bhavik.parmar@airport.com</v>
      </c>
      <c r="G19" t="str">
        <f t="shared" si="3"/>
        <v>N</v>
      </c>
      <c r="H19" t="str">
        <f t="shared" si="4"/>
        <v>QAT-N987669</v>
      </c>
    </row>
    <row r="20" spans="1:8" x14ac:dyDescent="0.25">
      <c r="A20" t="s">
        <v>341</v>
      </c>
      <c r="B20" t="s">
        <v>351</v>
      </c>
      <c r="C20" t="s">
        <v>343</v>
      </c>
      <c r="D20" t="str">
        <f t="shared" si="0"/>
        <v>Jay</v>
      </c>
      <c r="E20" t="str">
        <f t="shared" si="1"/>
        <v>Shah</v>
      </c>
      <c r="F20" t="str">
        <f t="shared" si="2"/>
        <v>jay.shah@airport.com</v>
      </c>
      <c r="G20" t="str">
        <f t="shared" si="3"/>
        <v>P</v>
      </c>
      <c r="H20" t="str">
        <f t="shared" si="4"/>
        <v>IND-P987670</v>
      </c>
    </row>
    <row r="21" spans="1:8" x14ac:dyDescent="0.25">
      <c r="A21" t="s">
        <v>342</v>
      </c>
      <c r="B21" t="s">
        <v>364</v>
      </c>
      <c r="C21" t="s">
        <v>344</v>
      </c>
      <c r="D21" t="str">
        <f t="shared" si="0"/>
        <v>Amit</v>
      </c>
      <c r="E21" t="str">
        <f t="shared" si="1"/>
        <v>Patel</v>
      </c>
      <c r="F21" t="str">
        <f t="shared" si="2"/>
        <v>amit.patel@airport.com</v>
      </c>
      <c r="G21" t="str">
        <f t="shared" si="3"/>
        <v>M</v>
      </c>
      <c r="H21" t="str">
        <f t="shared" si="4"/>
        <v>PAK-M987671</v>
      </c>
    </row>
  </sheetData>
  <phoneticPr fontId="4" type="noConversion"/>
  <conditionalFormatting sqref="B2:B21">
    <cfRule type="duplicateValues" dxfId="4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E4D8-E5A8-4951-967F-DE0583E65A37}">
  <dimension ref="A1:F21"/>
  <sheetViews>
    <sheetView workbookViewId="0">
      <selection activeCell="A6" sqref="A6:A21"/>
    </sheetView>
  </sheetViews>
  <sheetFormatPr defaultRowHeight="15" x14ac:dyDescent="0.25"/>
  <cols>
    <col min="1" max="1" width="9.42578125" bestFit="1" customWidth="1"/>
    <col min="2" max="2" width="5.28515625" bestFit="1" customWidth="1"/>
    <col min="3" max="3" width="8.42578125" bestFit="1" customWidth="1"/>
    <col min="4" max="4" width="22.7109375" bestFit="1" customWidth="1"/>
    <col min="5" max="5" width="14.28515625" bestFit="1" customWidth="1"/>
    <col min="6" max="6" width="11.5703125" bestFit="1" customWidth="1"/>
  </cols>
  <sheetData>
    <row r="1" spans="1:6" s="41" customFormat="1" x14ac:dyDescent="0.25">
      <c r="A1" s="41" t="s">
        <v>370</v>
      </c>
      <c r="B1" s="41" t="s">
        <v>371</v>
      </c>
      <c r="C1" s="41" t="s">
        <v>372</v>
      </c>
      <c r="D1" s="41" t="s">
        <v>376</v>
      </c>
      <c r="E1" s="41" t="s">
        <v>174</v>
      </c>
      <c r="F1" s="41" t="s">
        <v>377</v>
      </c>
    </row>
    <row r="2" spans="1:6" x14ac:dyDescent="0.25">
      <c r="A2" t="s">
        <v>373</v>
      </c>
      <c r="B2">
        <v>450</v>
      </c>
      <c r="C2">
        <v>8</v>
      </c>
      <c r="D2" s="53">
        <f>B2/C2</f>
        <v>56.25</v>
      </c>
      <c r="E2" t="str">
        <f>IF(D2&gt;=60,"Excellent",IF(D2&gt;=40,"Good","Needs Practice"))</f>
        <v>Good</v>
      </c>
      <c r="F2" t="str">
        <f>UPPER(LEFT(A2,3))</f>
        <v>VIR</v>
      </c>
    </row>
    <row r="3" spans="1:6" x14ac:dyDescent="0.25">
      <c r="A3" t="s">
        <v>162</v>
      </c>
      <c r="B3">
        <v>320</v>
      </c>
      <c r="C3">
        <v>7</v>
      </c>
      <c r="D3" s="53">
        <f t="shared" ref="D3:D21" si="0">B3/C3</f>
        <v>45.714285714285715</v>
      </c>
      <c r="E3" t="str">
        <f t="shared" ref="E3:E21" si="1">IF(D3&gt;=60,"Excellent",IF(D3&gt;=40,"Good","Needs Practice"))</f>
        <v>Good</v>
      </c>
      <c r="F3" t="str">
        <f t="shared" ref="F3:F21" si="2">UPPER(LEFT(A3,3))</f>
        <v>ROH</v>
      </c>
    </row>
    <row r="4" spans="1:6" x14ac:dyDescent="0.25">
      <c r="A4" t="s">
        <v>374</v>
      </c>
      <c r="B4">
        <v>520</v>
      </c>
      <c r="C4">
        <v>9</v>
      </c>
      <c r="D4" s="53">
        <f t="shared" si="0"/>
        <v>57.777777777777779</v>
      </c>
      <c r="E4" t="str">
        <f t="shared" si="1"/>
        <v>Good</v>
      </c>
      <c r="F4" t="str">
        <f t="shared" si="2"/>
        <v>GIL</v>
      </c>
    </row>
    <row r="5" spans="1:6" x14ac:dyDescent="0.25">
      <c r="A5" t="s">
        <v>375</v>
      </c>
      <c r="B5">
        <v>280</v>
      </c>
      <c r="C5">
        <v>6</v>
      </c>
      <c r="D5" s="53">
        <f t="shared" si="0"/>
        <v>46.666666666666664</v>
      </c>
      <c r="E5" t="str">
        <f t="shared" si="1"/>
        <v>Good</v>
      </c>
      <c r="F5" t="str">
        <f t="shared" si="2"/>
        <v>SKY</v>
      </c>
    </row>
    <row r="6" spans="1:6" x14ac:dyDescent="0.25">
      <c r="A6" t="s">
        <v>161</v>
      </c>
      <c r="B6">
        <v>489</v>
      </c>
      <c r="C6">
        <v>9</v>
      </c>
      <c r="D6" s="53">
        <f t="shared" si="0"/>
        <v>54.333333333333336</v>
      </c>
      <c r="E6" t="str">
        <f t="shared" si="1"/>
        <v>Good</v>
      </c>
      <c r="F6" t="str">
        <f t="shared" si="2"/>
        <v>FAR</v>
      </c>
    </row>
    <row r="7" spans="1:6" x14ac:dyDescent="0.25">
      <c r="A7" t="s">
        <v>166</v>
      </c>
      <c r="B7">
        <v>471</v>
      </c>
      <c r="C7">
        <v>6</v>
      </c>
      <c r="D7" s="53">
        <f t="shared" si="0"/>
        <v>78.5</v>
      </c>
      <c r="E7" t="str">
        <f t="shared" si="1"/>
        <v>Excellent</v>
      </c>
      <c r="F7" t="str">
        <f t="shared" si="2"/>
        <v>MOH</v>
      </c>
    </row>
    <row r="8" spans="1:6" x14ac:dyDescent="0.25">
      <c r="A8" t="s">
        <v>57</v>
      </c>
      <c r="B8">
        <v>360</v>
      </c>
      <c r="C8">
        <v>8</v>
      </c>
      <c r="D8" s="53">
        <f t="shared" si="0"/>
        <v>45</v>
      </c>
      <c r="E8" t="str">
        <f t="shared" si="1"/>
        <v>Good</v>
      </c>
      <c r="F8" t="str">
        <f t="shared" si="2"/>
        <v>RAJ</v>
      </c>
    </row>
    <row r="9" spans="1:6" x14ac:dyDescent="0.25">
      <c r="A9" t="s">
        <v>69</v>
      </c>
      <c r="B9">
        <v>300</v>
      </c>
      <c r="C9">
        <v>7</v>
      </c>
      <c r="D9" s="53">
        <f t="shared" si="0"/>
        <v>42.857142857142854</v>
      </c>
      <c r="E9" t="str">
        <f t="shared" si="1"/>
        <v>Good</v>
      </c>
      <c r="F9" t="str">
        <f t="shared" si="2"/>
        <v>KIS</v>
      </c>
    </row>
    <row r="10" spans="1:6" x14ac:dyDescent="0.25">
      <c r="A10" t="s">
        <v>70</v>
      </c>
      <c r="B10">
        <v>283</v>
      </c>
      <c r="C10">
        <v>6</v>
      </c>
      <c r="D10" s="53">
        <f t="shared" si="0"/>
        <v>47.166666666666664</v>
      </c>
      <c r="E10" t="str">
        <f t="shared" si="1"/>
        <v>Good</v>
      </c>
      <c r="F10" t="str">
        <f t="shared" si="2"/>
        <v>JUH</v>
      </c>
    </row>
    <row r="11" spans="1:6" x14ac:dyDescent="0.25">
      <c r="A11" t="s">
        <v>71</v>
      </c>
      <c r="B11">
        <v>498</v>
      </c>
      <c r="C11">
        <v>7</v>
      </c>
      <c r="D11" s="53">
        <f t="shared" si="0"/>
        <v>71.142857142857139</v>
      </c>
      <c r="E11" t="str">
        <f t="shared" si="1"/>
        <v>Excellent</v>
      </c>
      <c r="F11" t="str">
        <f t="shared" si="2"/>
        <v>RUH</v>
      </c>
    </row>
    <row r="12" spans="1:6" x14ac:dyDescent="0.25">
      <c r="A12" t="s">
        <v>72</v>
      </c>
      <c r="B12">
        <v>116</v>
      </c>
      <c r="C12">
        <v>6</v>
      </c>
      <c r="D12" s="53">
        <f t="shared" si="0"/>
        <v>19.333333333333332</v>
      </c>
      <c r="E12" t="str">
        <f t="shared" si="1"/>
        <v>Needs Practice</v>
      </c>
      <c r="F12" t="str">
        <f t="shared" si="2"/>
        <v>BAP</v>
      </c>
    </row>
    <row r="13" spans="1:6" x14ac:dyDescent="0.25">
      <c r="A13" t="s">
        <v>73</v>
      </c>
      <c r="B13">
        <v>380</v>
      </c>
      <c r="C13">
        <v>9</v>
      </c>
      <c r="D13" s="53">
        <f t="shared" si="0"/>
        <v>42.222222222222221</v>
      </c>
      <c r="E13" t="str">
        <f t="shared" si="1"/>
        <v>Good</v>
      </c>
      <c r="F13" t="str">
        <f t="shared" si="2"/>
        <v>HIT</v>
      </c>
    </row>
    <row r="14" spans="1:6" x14ac:dyDescent="0.25">
      <c r="A14" t="s">
        <v>74</v>
      </c>
      <c r="B14">
        <v>406</v>
      </c>
      <c r="C14">
        <v>9</v>
      </c>
      <c r="D14" s="53">
        <f t="shared" si="0"/>
        <v>45.111111111111114</v>
      </c>
      <c r="E14" t="str">
        <f t="shared" si="1"/>
        <v>Good</v>
      </c>
      <c r="F14" t="str">
        <f t="shared" si="2"/>
        <v>KES</v>
      </c>
    </row>
    <row r="15" spans="1:6" x14ac:dyDescent="0.25">
      <c r="A15" t="s">
        <v>75</v>
      </c>
      <c r="B15">
        <v>493</v>
      </c>
      <c r="C15">
        <v>7</v>
      </c>
      <c r="D15" s="53">
        <f t="shared" si="0"/>
        <v>70.428571428571431</v>
      </c>
      <c r="E15" t="str">
        <f t="shared" si="1"/>
        <v>Excellent</v>
      </c>
      <c r="F15" t="str">
        <f t="shared" si="2"/>
        <v>YES</v>
      </c>
    </row>
    <row r="16" spans="1:6" x14ac:dyDescent="0.25">
      <c r="A16" t="s">
        <v>76</v>
      </c>
      <c r="B16">
        <v>445</v>
      </c>
      <c r="C16">
        <v>7</v>
      </c>
      <c r="D16" s="53">
        <f t="shared" si="0"/>
        <v>63.571428571428569</v>
      </c>
      <c r="E16" t="str">
        <f t="shared" si="1"/>
        <v>Excellent</v>
      </c>
      <c r="F16" t="str">
        <f t="shared" si="2"/>
        <v>RAD</v>
      </c>
    </row>
    <row r="17" spans="1:6" x14ac:dyDescent="0.25">
      <c r="A17" t="s">
        <v>77</v>
      </c>
      <c r="B17">
        <v>511</v>
      </c>
      <c r="C17">
        <v>9</v>
      </c>
      <c r="D17" s="53">
        <f t="shared" si="0"/>
        <v>56.777777777777779</v>
      </c>
      <c r="E17" t="str">
        <f t="shared" si="1"/>
        <v>Good</v>
      </c>
      <c r="F17" t="str">
        <f t="shared" si="2"/>
        <v>HAR</v>
      </c>
    </row>
    <row r="18" spans="1:6" x14ac:dyDescent="0.25">
      <c r="A18" t="s">
        <v>78</v>
      </c>
      <c r="B18">
        <v>437</v>
      </c>
      <c r="C18">
        <v>8</v>
      </c>
      <c r="D18" s="53">
        <f t="shared" si="0"/>
        <v>54.625</v>
      </c>
      <c r="E18" t="str">
        <f t="shared" si="1"/>
        <v>Good</v>
      </c>
      <c r="F18" t="str">
        <f t="shared" si="2"/>
        <v>PAR</v>
      </c>
    </row>
    <row r="19" spans="1:6" x14ac:dyDescent="0.25">
      <c r="A19" t="s">
        <v>79</v>
      </c>
      <c r="B19">
        <v>350</v>
      </c>
      <c r="C19">
        <v>7</v>
      </c>
      <c r="D19" s="53">
        <f t="shared" si="0"/>
        <v>50</v>
      </c>
      <c r="E19" t="str">
        <f t="shared" si="1"/>
        <v>Good</v>
      </c>
      <c r="F19" t="str">
        <f t="shared" si="2"/>
        <v>DHA</v>
      </c>
    </row>
    <row r="20" spans="1:6" x14ac:dyDescent="0.25">
      <c r="A20" t="s">
        <v>80</v>
      </c>
      <c r="B20">
        <v>366</v>
      </c>
      <c r="C20">
        <v>6</v>
      </c>
      <c r="D20" s="53">
        <f t="shared" si="0"/>
        <v>61</v>
      </c>
      <c r="E20" t="str">
        <f t="shared" si="1"/>
        <v>Excellent</v>
      </c>
      <c r="F20" t="str">
        <f t="shared" si="2"/>
        <v>KRI</v>
      </c>
    </row>
    <row r="21" spans="1:6" x14ac:dyDescent="0.25">
      <c r="A21" t="s">
        <v>81</v>
      </c>
      <c r="B21">
        <v>200</v>
      </c>
      <c r="C21">
        <v>6</v>
      </c>
      <c r="D21" s="53">
        <f t="shared" si="0"/>
        <v>33.333333333333336</v>
      </c>
      <c r="E21" t="str">
        <f t="shared" si="1"/>
        <v>Needs Practice</v>
      </c>
      <c r="F21" t="str">
        <f t="shared" si="2"/>
        <v>HAN</v>
      </c>
    </row>
  </sheetData>
  <conditionalFormatting sqref="B2:B21">
    <cfRule type="top10" dxfId="3" priority="1" rank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D86C-BB7F-40B3-ABC3-5526C0C400E7}">
  <dimension ref="A1:G21"/>
  <sheetViews>
    <sheetView workbookViewId="0">
      <selection activeCell="A19" sqref="A19"/>
    </sheetView>
  </sheetViews>
  <sheetFormatPr defaultRowHeight="15" x14ac:dyDescent="0.25"/>
  <cols>
    <col min="1" max="1" width="9.42578125" bestFit="1" customWidth="1"/>
    <col min="2" max="2" width="4.42578125" bestFit="1" customWidth="1"/>
    <col min="3" max="3" width="12.42578125" bestFit="1" customWidth="1"/>
    <col min="4" max="4" width="5" bestFit="1" customWidth="1"/>
    <col min="5" max="5" width="12.7109375" bestFit="1" customWidth="1"/>
    <col min="6" max="6" width="14.85546875" bestFit="1" customWidth="1"/>
    <col min="7" max="7" width="30.5703125" bestFit="1" customWidth="1"/>
  </cols>
  <sheetData>
    <row r="1" spans="1:7" s="41" customFormat="1" x14ac:dyDescent="0.25">
      <c r="A1" s="41" t="s">
        <v>378</v>
      </c>
      <c r="B1" s="41" t="s">
        <v>181</v>
      </c>
      <c r="C1" s="41" t="s">
        <v>189</v>
      </c>
      <c r="D1" s="41" t="s">
        <v>379</v>
      </c>
      <c r="E1" s="41" t="s">
        <v>383</v>
      </c>
      <c r="F1" s="41" t="s">
        <v>384</v>
      </c>
      <c r="G1" s="41" t="s">
        <v>385</v>
      </c>
    </row>
    <row r="2" spans="1:7" x14ac:dyDescent="0.25">
      <c r="A2" t="s">
        <v>204</v>
      </c>
      <c r="B2">
        <v>22</v>
      </c>
      <c r="C2" t="s">
        <v>380</v>
      </c>
      <c r="D2">
        <v>2500</v>
      </c>
      <c r="E2" t="str">
        <f>IF(B2&gt;=60,"Senior","Adult")</f>
        <v>Adult</v>
      </c>
      <c r="F2" t="str">
        <f>_xlfn.CONCAT(UPPER(LEFT(C2,2)),"-",UPPER(A2))</f>
        <v>GO-AMIT</v>
      </c>
      <c r="G2" t="str">
        <f>PROPER(A2)</f>
        <v>Amit</v>
      </c>
    </row>
    <row r="3" spans="1:7" x14ac:dyDescent="0.25">
      <c r="A3" t="s">
        <v>209</v>
      </c>
      <c r="B3">
        <v>45</v>
      </c>
      <c r="C3" t="s">
        <v>381</v>
      </c>
      <c r="D3">
        <v>1800</v>
      </c>
      <c r="E3" t="str">
        <f t="shared" ref="E3:E21" si="0">IF(B3&gt;=60,"Senior","Adult")</f>
        <v>Adult</v>
      </c>
      <c r="F3" t="str">
        <f t="shared" ref="F3:F21" si="1">_xlfn.CONCAT(UPPER(LEFT(C3,2)),"-",UPPER(A3))</f>
        <v>SI-RAVI</v>
      </c>
      <c r="G3" t="str">
        <f t="shared" ref="G3:G21" si="2">PROPER(A3)</f>
        <v>Ravi</v>
      </c>
    </row>
    <row r="4" spans="1:7" x14ac:dyDescent="0.25">
      <c r="A4" t="s">
        <v>206</v>
      </c>
      <c r="B4">
        <v>31</v>
      </c>
      <c r="C4" t="s">
        <v>382</v>
      </c>
      <c r="D4">
        <v>4000</v>
      </c>
      <c r="E4" t="str">
        <f t="shared" si="0"/>
        <v>Adult</v>
      </c>
      <c r="F4" t="str">
        <f t="shared" si="1"/>
        <v>PL-NEHA</v>
      </c>
      <c r="G4" t="str">
        <f t="shared" si="2"/>
        <v>Neha</v>
      </c>
    </row>
    <row r="5" spans="1:7" x14ac:dyDescent="0.25">
      <c r="A5" t="s">
        <v>210</v>
      </c>
      <c r="B5">
        <v>26</v>
      </c>
      <c r="C5" t="s">
        <v>380</v>
      </c>
      <c r="D5">
        <v>2500</v>
      </c>
      <c r="E5" t="str">
        <f t="shared" si="0"/>
        <v>Adult</v>
      </c>
      <c r="F5" t="str">
        <f t="shared" si="1"/>
        <v>GO-PRIYA</v>
      </c>
      <c r="G5" t="str">
        <f t="shared" si="2"/>
        <v>Priya</v>
      </c>
    </row>
    <row r="6" spans="1:7" x14ac:dyDescent="0.25">
      <c r="A6" t="s">
        <v>161</v>
      </c>
      <c r="B6">
        <v>42</v>
      </c>
      <c r="C6" t="s">
        <v>380</v>
      </c>
      <c r="D6">
        <v>2500</v>
      </c>
      <c r="E6" t="str">
        <f t="shared" si="0"/>
        <v>Adult</v>
      </c>
      <c r="F6" t="str">
        <f t="shared" si="1"/>
        <v>GO-FARHAN</v>
      </c>
      <c r="G6" t="str">
        <f t="shared" si="2"/>
        <v>Farhan</v>
      </c>
    </row>
    <row r="7" spans="1:7" x14ac:dyDescent="0.25">
      <c r="A7" t="s">
        <v>166</v>
      </c>
      <c r="B7">
        <v>41</v>
      </c>
      <c r="C7" t="s">
        <v>381</v>
      </c>
      <c r="D7">
        <v>1800</v>
      </c>
      <c r="E7" t="str">
        <f t="shared" si="0"/>
        <v>Adult</v>
      </c>
      <c r="F7" t="str">
        <f t="shared" si="1"/>
        <v>SI-MOHAN</v>
      </c>
      <c r="G7" t="str">
        <f t="shared" si="2"/>
        <v>Mohan</v>
      </c>
    </row>
    <row r="8" spans="1:7" x14ac:dyDescent="0.25">
      <c r="A8" t="s">
        <v>57</v>
      </c>
      <c r="B8">
        <v>31</v>
      </c>
      <c r="C8" t="s">
        <v>382</v>
      </c>
      <c r="D8">
        <v>4000</v>
      </c>
      <c r="E8" t="str">
        <f t="shared" si="0"/>
        <v>Adult</v>
      </c>
      <c r="F8" t="str">
        <f t="shared" si="1"/>
        <v>PL-RAJU</v>
      </c>
      <c r="G8" t="str">
        <f t="shared" si="2"/>
        <v>Raju</v>
      </c>
    </row>
    <row r="9" spans="1:7" x14ac:dyDescent="0.25">
      <c r="A9" t="s">
        <v>69</v>
      </c>
      <c r="B9">
        <v>37</v>
      </c>
      <c r="C9" t="s">
        <v>380</v>
      </c>
      <c r="D9">
        <v>2500</v>
      </c>
      <c r="E9" t="str">
        <f t="shared" si="0"/>
        <v>Adult</v>
      </c>
      <c r="F9" t="str">
        <f t="shared" si="1"/>
        <v>GO-KISHAN</v>
      </c>
      <c r="G9" t="str">
        <f t="shared" si="2"/>
        <v>Kishan</v>
      </c>
    </row>
    <row r="10" spans="1:7" x14ac:dyDescent="0.25">
      <c r="A10" t="s">
        <v>70</v>
      </c>
      <c r="B10">
        <v>60</v>
      </c>
      <c r="C10" t="s">
        <v>380</v>
      </c>
      <c r="D10">
        <v>2500</v>
      </c>
      <c r="E10" t="str">
        <f t="shared" si="0"/>
        <v>Senior</v>
      </c>
      <c r="F10" t="str">
        <f t="shared" si="1"/>
        <v>GO-JUHI</v>
      </c>
      <c r="G10" t="str">
        <f t="shared" si="2"/>
        <v>Juhi</v>
      </c>
    </row>
    <row r="11" spans="1:7" x14ac:dyDescent="0.25">
      <c r="A11" t="s">
        <v>71</v>
      </c>
      <c r="B11">
        <v>29</v>
      </c>
      <c r="C11" t="s">
        <v>381</v>
      </c>
      <c r="D11">
        <v>1800</v>
      </c>
      <c r="E11" t="str">
        <f t="shared" si="0"/>
        <v>Adult</v>
      </c>
      <c r="F11" t="str">
        <f t="shared" si="1"/>
        <v>SI-RUHI</v>
      </c>
      <c r="G11" t="str">
        <f t="shared" si="2"/>
        <v>Ruhi</v>
      </c>
    </row>
    <row r="12" spans="1:7" x14ac:dyDescent="0.25">
      <c r="A12" t="s">
        <v>72</v>
      </c>
      <c r="B12">
        <v>34</v>
      </c>
      <c r="C12" t="s">
        <v>382</v>
      </c>
      <c r="D12">
        <v>4000</v>
      </c>
      <c r="E12" t="str">
        <f t="shared" si="0"/>
        <v>Adult</v>
      </c>
      <c r="F12" t="str">
        <f t="shared" si="1"/>
        <v>PL-BAPPI</v>
      </c>
      <c r="G12" t="str">
        <f t="shared" si="2"/>
        <v>Bappi</v>
      </c>
    </row>
    <row r="13" spans="1:7" x14ac:dyDescent="0.25">
      <c r="A13" t="s">
        <v>386</v>
      </c>
      <c r="B13">
        <v>65</v>
      </c>
      <c r="C13" t="s">
        <v>380</v>
      </c>
      <c r="D13">
        <v>2500</v>
      </c>
      <c r="E13" t="str">
        <f t="shared" si="0"/>
        <v>Senior</v>
      </c>
      <c r="F13" t="str">
        <f t="shared" si="1"/>
        <v>GO-HITESH</v>
      </c>
      <c r="G13" t="str">
        <f t="shared" si="2"/>
        <v>Hitesh</v>
      </c>
    </row>
    <row r="14" spans="1:7" x14ac:dyDescent="0.25">
      <c r="A14" t="s">
        <v>74</v>
      </c>
      <c r="B14">
        <v>41</v>
      </c>
      <c r="C14" t="s">
        <v>380</v>
      </c>
      <c r="D14">
        <v>2500</v>
      </c>
      <c r="E14" t="str">
        <f t="shared" si="0"/>
        <v>Adult</v>
      </c>
      <c r="F14" t="str">
        <f t="shared" si="1"/>
        <v>GO-KESHA</v>
      </c>
      <c r="G14" t="str">
        <f t="shared" si="2"/>
        <v>Kesha</v>
      </c>
    </row>
    <row r="15" spans="1:7" x14ac:dyDescent="0.25">
      <c r="A15" t="s">
        <v>75</v>
      </c>
      <c r="B15">
        <v>43</v>
      </c>
      <c r="C15" t="s">
        <v>381</v>
      </c>
      <c r="D15">
        <v>1800</v>
      </c>
      <c r="E15" t="str">
        <f t="shared" si="0"/>
        <v>Adult</v>
      </c>
      <c r="F15" t="str">
        <f t="shared" si="1"/>
        <v>SI-YESHA</v>
      </c>
      <c r="G15" t="str">
        <f t="shared" si="2"/>
        <v>Yesha</v>
      </c>
    </row>
    <row r="16" spans="1:7" x14ac:dyDescent="0.25">
      <c r="A16" t="s">
        <v>76</v>
      </c>
      <c r="B16">
        <v>31</v>
      </c>
      <c r="C16" t="s">
        <v>382</v>
      </c>
      <c r="D16">
        <v>4000</v>
      </c>
      <c r="E16" t="str">
        <f t="shared" si="0"/>
        <v>Adult</v>
      </c>
      <c r="F16" t="str">
        <f t="shared" si="1"/>
        <v>PL-RADHA</v>
      </c>
      <c r="G16" t="str">
        <f t="shared" si="2"/>
        <v>Radha</v>
      </c>
    </row>
    <row r="17" spans="1:7" x14ac:dyDescent="0.25">
      <c r="A17" t="s">
        <v>77</v>
      </c>
      <c r="B17">
        <v>25</v>
      </c>
      <c r="C17" t="s">
        <v>380</v>
      </c>
      <c r="D17">
        <v>2500</v>
      </c>
      <c r="E17" t="str">
        <f t="shared" si="0"/>
        <v>Adult</v>
      </c>
      <c r="F17" t="str">
        <f t="shared" si="1"/>
        <v>GO-HARI</v>
      </c>
      <c r="G17" t="str">
        <f t="shared" si="2"/>
        <v>Hari</v>
      </c>
    </row>
    <row r="18" spans="1:7" x14ac:dyDescent="0.25">
      <c r="A18" t="s">
        <v>387</v>
      </c>
      <c r="B18">
        <v>28</v>
      </c>
      <c r="C18" t="s">
        <v>380</v>
      </c>
      <c r="D18">
        <v>2500</v>
      </c>
      <c r="E18" t="str">
        <f t="shared" si="0"/>
        <v>Adult</v>
      </c>
      <c r="F18" t="str">
        <f t="shared" si="1"/>
        <v>GO-PARI</v>
      </c>
      <c r="G18" t="str">
        <f t="shared" si="2"/>
        <v>Pari</v>
      </c>
    </row>
    <row r="19" spans="1:7" x14ac:dyDescent="0.25">
      <c r="A19" t="s">
        <v>79</v>
      </c>
      <c r="B19">
        <v>41</v>
      </c>
      <c r="C19" t="s">
        <v>381</v>
      </c>
      <c r="D19">
        <v>1800</v>
      </c>
      <c r="E19" t="str">
        <f t="shared" si="0"/>
        <v>Adult</v>
      </c>
      <c r="F19" t="str">
        <f t="shared" si="1"/>
        <v>SI-DHARA</v>
      </c>
      <c r="G19" t="str">
        <f t="shared" si="2"/>
        <v>Dhara</v>
      </c>
    </row>
    <row r="20" spans="1:7" x14ac:dyDescent="0.25">
      <c r="A20" t="s">
        <v>80</v>
      </c>
      <c r="B20">
        <v>29</v>
      </c>
      <c r="C20" t="s">
        <v>382</v>
      </c>
      <c r="D20">
        <v>4000</v>
      </c>
      <c r="E20" t="str">
        <f t="shared" si="0"/>
        <v>Adult</v>
      </c>
      <c r="F20" t="str">
        <f t="shared" si="1"/>
        <v>PL-KRISHNA</v>
      </c>
      <c r="G20" t="str">
        <f t="shared" si="2"/>
        <v>Krishna</v>
      </c>
    </row>
    <row r="21" spans="1:7" x14ac:dyDescent="0.25">
      <c r="A21" t="s">
        <v>81</v>
      </c>
      <c r="B21">
        <v>26</v>
      </c>
      <c r="C21" t="s">
        <v>382</v>
      </c>
      <c r="D21">
        <v>4000</v>
      </c>
      <c r="E21" t="str">
        <f t="shared" si="0"/>
        <v>Adult</v>
      </c>
      <c r="F21" t="str">
        <f t="shared" si="1"/>
        <v>PL-HANUMAN</v>
      </c>
      <c r="G21" t="str">
        <f t="shared" si="2"/>
        <v>Hanuman</v>
      </c>
    </row>
  </sheetData>
  <conditionalFormatting sqref="C1:C1048576">
    <cfRule type="cellIs" dxfId="2" priority="1" operator="equal">
      <formula>"Platinum"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71D9-06E4-4EF9-B6F7-20B5DEDA8BFD}">
  <dimension ref="A1:G21"/>
  <sheetViews>
    <sheetView workbookViewId="0">
      <selection activeCell="A6" sqref="A6:A21"/>
    </sheetView>
  </sheetViews>
  <sheetFormatPr defaultRowHeight="15" x14ac:dyDescent="0.25"/>
  <cols>
    <col min="1" max="1" width="9.42578125" bestFit="1" customWidth="1"/>
    <col min="2" max="2" width="8.85546875" bestFit="1" customWidth="1"/>
    <col min="3" max="3" width="5" bestFit="1" customWidth="1"/>
    <col min="4" max="4" width="14.85546875" bestFit="1" customWidth="1"/>
    <col min="5" max="5" width="16.85546875" bestFit="1" customWidth="1"/>
    <col min="6" max="6" width="13.7109375" bestFit="1" customWidth="1"/>
    <col min="7" max="7" width="36.42578125" bestFit="1" customWidth="1"/>
  </cols>
  <sheetData>
    <row r="1" spans="1:7" s="41" customFormat="1" x14ac:dyDescent="0.25">
      <c r="A1" s="41" t="s">
        <v>388</v>
      </c>
      <c r="B1" s="41" t="s">
        <v>389</v>
      </c>
      <c r="C1" s="41" t="s">
        <v>379</v>
      </c>
      <c r="D1" s="41" t="s">
        <v>390</v>
      </c>
      <c r="E1" s="41" t="s">
        <v>396</v>
      </c>
      <c r="F1" s="41" t="s">
        <v>397</v>
      </c>
      <c r="G1" s="41" t="s">
        <v>398</v>
      </c>
    </row>
    <row r="2" spans="1:7" x14ac:dyDescent="0.25">
      <c r="A2" t="s">
        <v>204</v>
      </c>
      <c r="B2" t="s">
        <v>391</v>
      </c>
      <c r="C2">
        <v>5000</v>
      </c>
      <c r="D2" t="s">
        <v>392</v>
      </c>
      <c r="E2" t="str">
        <f>IF(D2="Paid", "Active", "Inactive")</f>
        <v>Active</v>
      </c>
      <c r="F2" t="str">
        <f>_xlfn.CONCAT(UPPER(LEFT(B2,2)), "-", UPPER(A2))</f>
        <v>EX-AMIT</v>
      </c>
      <c r="G2" t="str">
        <f>_xlfn.CONCAT(B2," - ",A2)</f>
        <v>Excel - Amit</v>
      </c>
    </row>
    <row r="3" spans="1:7" x14ac:dyDescent="0.25">
      <c r="A3" t="s">
        <v>209</v>
      </c>
      <c r="B3" t="s">
        <v>393</v>
      </c>
      <c r="C3">
        <v>6000</v>
      </c>
      <c r="D3" t="s">
        <v>208</v>
      </c>
      <c r="E3" t="str">
        <f t="shared" ref="E3:E21" si="0">IF(D3="Paid", "Active", "Inactive")</f>
        <v>Inactive</v>
      </c>
      <c r="F3" t="str">
        <f t="shared" ref="F3:F21" si="1">_xlfn.CONCAT(UPPER(LEFT(B3,2)), "-", UPPER(A3))</f>
        <v>SQ-RAVI</v>
      </c>
      <c r="G3" t="str">
        <f t="shared" ref="G3:G21" si="2">_xlfn.CONCAT(B3," - ",A3)</f>
        <v>SQL - Ravi</v>
      </c>
    </row>
    <row r="4" spans="1:7" x14ac:dyDescent="0.25">
      <c r="A4" t="s">
        <v>210</v>
      </c>
      <c r="B4" t="s">
        <v>394</v>
      </c>
      <c r="C4">
        <v>7000</v>
      </c>
      <c r="D4" t="s">
        <v>392</v>
      </c>
      <c r="E4" t="str">
        <f t="shared" si="0"/>
        <v>Active</v>
      </c>
      <c r="F4" t="str">
        <f t="shared" si="1"/>
        <v>PO-PRIYA</v>
      </c>
      <c r="G4" t="str">
        <f t="shared" si="2"/>
        <v>Power BI - Priya</v>
      </c>
    </row>
    <row r="5" spans="1:7" x14ac:dyDescent="0.25">
      <c r="A5" t="s">
        <v>206</v>
      </c>
      <c r="B5" t="s">
        <v>395</v>
      </c>
      <c r="C5">
        <v>8000</v>
      </c>
      <c r="D5" t="s">
        <v>208</v>
      </c>
      <c r="E5" t="str">
        <f t="shared" si="0"/>
        <v>Inactive</v>
      </c>
      <c r="F5" t="str">
        <f t="shared" si="1"/>
        <v>PY-NEHA</v>
      </c>
      <c r="G5" t="str">
        <f t="shared" si="2"/>
        <v>Python - Neha</v>
      </c>
    </row>
    <row r="6" spans="1:7" x14ac:dyDescent="0.25">
      <c r="A6" t="s">
        <v>161</v>
      </c>
      <c r="B6" t="s">
        <v>391</v>
      </c>
      <c r="C6">
        <v>5000</v>
      </c>
      <c r="D6" t="s">
        <v>392</v>
      </c>
      <c r="E6" t="str">
        <f t="shared" si="0"/>
        <v>Active</v>
      </c>
      <c r="F6" t="str">
        <f t="shared" si="1"/>
        <v>EX-FARHAN</v>
      </c>
      <c r="G6" t="str">
        <f t="shared" si="2"/>
        <v>Excel - Farhan</v>
      </c>
    </row>
    <row r="7" spans="1:7" x14ac:dyDescent="0.25">
      <c r="A7" t="s">
        <v>166</v>
      </c>
      <c r="B7" t="s">
        <v>393</v>
      </c>
      <c r="C7">
        <v>6000</v>
      </c>
      <c r="D7" t="s">
        <v>392</v>
      </c>
      <c r="E7" t="str">
        <f t="shared" si="0"/>
        <v>Active</v>
      </c>
      <c r="F7" t="str">
        <f t="shared" si="1"/>
        <v>SQ-MOHAN</v>
      </c>
      <c r="G7" t="str">
        <f t="shared" si="2"/>
        <v>SQL - Mohan</v>
      </c>
    </row>
    <row r="8" spans="1:7" x14ac:dyDescent="0.25">
      <c r="A8" t="s">
        <v>57</v>
      </c>
      <c r="B8" t="s">
        <v>394</v>
      </c>
      <c r="C8">
        <v>7000</v>
      </c>
      <c r="D8" t="s">
        <v>392</v>
      </c>
      <c r="E8" t="str">
        <f t="shared" si="0"/>
        <v>Active</v>
      </c>
      <c r="F8" t="str">
        <f t="shared" si="1"/>
        <v>PO-RAJU</v>
      </c>
      <c r="G8" t="str">
        <f t="shared" si="2"/>
        <v>Power BI - Raju</v>
      </c>
    </row>
    <row r="9" spans="1:7" x14ac:dyDescent="0.25">
      <c r="A9" t="s">
        <v>69</v>
      </c>
      <c r="B9" t="s">
        <v>395</v>
      </c>
      <c r="C9">
        <v>8000</v>
      </c>
      <c r="D9" t="s">
        <v>208</v>
      </c>
      <c r="E9" t="str">
        <f t="shared" si="0"/>
        <v>Inactive</v>
      </c>
      <c r="F9" t="str">
        <f t="shared" si="1"/>
        <v>PY-KISHAN</v>
      </c>
      <c r="G9" t="str">
        <f t="shared" si="2"/>
        <v>Python - Kishan</v>
      </c>
    </row>
    <row r="10" spans="1:7" x14ac:dyDescent="0.25">
      <c r="A10" t="s">
        <v>70</v>
      </c>
      <c r="B10" t="s">
        <v>395</v>
      </c>
      <c r="C10">
        <v>8000</v>
      </c>
      <c r="D10" t="s">
        <v>392</v>
      </c>
      <c r="E10" t="str">
        <f t="shared" si="0"/>
        <v>Active</v>
      </c>
      <c r="F10" t="str">
        <f t="shared" si="1"/>
        <v>PY-JUHI</v>
      </c>
      <c r="G10" t="str">
        <f t="shared" si="2"/>
        <v>Python - Juhi</v>
      </c>
    </row>
    <row r="11" spans="1:7" x14ac:dyDescent="0.25">
      <c r="A11" t="s">
        <v>71</v>
      </c>
      <c r="B11" t="s">
        <v>394</v>
      </c>
      <c r="C11">
        <v>7000</v>
      </c>
      <c r="D11" t="s">
        <v>208</v>
      </c>
      <c r="E11" t="str">
        <f t="shared" si="0"/>
        <v>Inactive</v>
      </c>
      <c r="F11" t="str">
        <f t="shared" si="1"/>
        <v>PO-RUHI</v>
      </c>
      <c r="G11" t="str">
        <f t="shared" si="2"/>
        <v>Power BI - Ruhi</v>
      </c>
    </row>
    <row r="12" spans="1:7" x14ac:dyDescent="0.25">
      <c r="A12" t="s">
        <v>72</v>
      </c>
      <c r="B12" t="s">
        <v>394</v>
      </c>
      <c r="C12">
        <v>7000</v>
      </c>
      <c r="D12" t="s">
        <v>392</v>
      </c>
      <c r="E12" t="str">
        <f t="shared" si="0"/>
        <v>Active</v>
      </c>
      <c r="F12" t="str">
        <f t="shared" si="1"/>
        <v>PO-BAPPI</v>
      </c>
      <c r="G12" t="str">
        <f t="shared" si="2"/>
        <v>Power BI - Bappi</v>
      </c>
    </row>
    <row r="13" spans="1:7" x14ac:dyDescent="0.25">
      <c r="A13" t="s">
        <v>73</v>
      </c>
      <c r="B13" t="s">
        <v>395</v>
      </c>
      <c r="C13">
        <v>8000</v>
      </c>
      <c r="D13" t="s">
        <v>208</v>
      </c>
      <c r="E13" t="str">
        <f t="shared" si="0"/>
        <v>Inactive</v>
      </c>
      <c r="F13" t="str">
        <f t="shared" si="1"/>
        <v>PY-HITESH</v>
      </c>
      <c r="G13" t="str">
        <f t="shared" si="2"/>
        <v>Python - Hitesh</v>
      </c>
    </row>
    <row r="14" spans="1:7" x14ac:dyDescent="0.25">
      <c r="A14" t="s">
        <v>74</v>
      </c>
      <c r="B14" t="s">
        <v>391</v>
      </c>
      <c r="C14">
        <v>5000</v>
      </c>
      <c r="D14" t="s">
        <v>392</v>
      </c>
      <c r="E14" t="str">
        <f t="shared" si="0"/>
        <v>Active</v>
      </c>
      <c r="F14" t="str">
        <f t="shared" si="1"/>
        <v>EX-KESHA</v>
      </c>
      <c r="G14" t="str">
        <f t="shared" si="2"/>
        <v>Excel - Kesha</v>
      </c>
    </row>
    <row r="15" spans="1:7" x14ac:dyDescent="0.25">
      <c r="A15" t="s">
        <v>75</v>
      </c>
      <c r="B15" t="s">
        <v>393</v>
      </c>
      <c r="C15">
        <v>6000</v>
      </c>
      <c r="D15" t="s">
        <v>392</v>
      </c>
      <c r="E15" t="str">
        <f t="shared" si="0"/>
        <v>Active</v>
      </c>
      <c r="F15" t="str">
        <f t="shared" si="1"/>
        <v>SQ-YESHA</v>
      </c>
      <c r="G15" t="str">
        <f t="shared" si="2"/>
        <v>SQL - Yesha</v>
      </c>
    </row>
    <row r="16" spans="1:7" x14ac:dyDescent="0.25">
      <c r="A16" t="s">
        <v>76</v>
      </c>
      <c r="B16" t="s">
        <v>394</v>
      </c>
      <c r="C16">
        <v>7000</v>
      </c>
      <c r="D16" t="s">
        <v>392</v>
      </c>
      <c r="E16" t="str">
        <f t="shared" si="0"/>
        <v>Active</v>
      </c>
      <c r="F16" t="str">
        <f t="shared" si="1"/>
        <v>PO-RADHA</v>
      </c>
      <c r="G16" t="str">
        <f t="shared" si="2"/>
        <v>Power BI - Radha</v>
      </c>
    </row>
    <row r="17" spans="1:7" x14ac:dyDescent="0.25">
      <c r="A17" t="s">
        <v>77</v>
      </c>
      <c r="B17" t="s">
        <v>395</v>
      </c>
      <c r="C17">
        <v>8000</v>
      </c>
      <c r="D17" t="s">
        <v>208</v>
      </c>
      <c r="E17" t="str">
        <f t="shared" si="0"/>
        <v>Inactive</v>
      </c>
      <c r="F17" t="str">
        <f t="shared" si="1"/>
        <v>PY-HARI</v>
      </c>
      <c r="G17" t="str">
        <f t="shared" si="2"/>
        <v>Python - Hari</v>
      </c>
    </row>
    <row r="18" spans="1:7" x14ac:dyDescent="0.25">
      <c r="A18" t="s">
        <v>78</v>
      </c>
      <c r="B18" t="s">
        <v>395</v>
      </c>
      <c r="C18">
        <v>8000</v>
      </c>
      <c r="D18" t="s">
        <v>392</v>
      </c>
      <c r="E18" t="str">
        <f t="shared" si="0"/>
        <v>Active</v>
      </c>
      <c r="F18" t="str">
        <f t="shared" si="1"/>
        <v>PY-PARI</v>
      </c>
      <c r="G18" t="str">
        <f t="shared" si="2"/>
        <v>Python - Pari</v>
      </c>
    </row>
    <row r="19" spans="1:7" x14ac:dyDescent="0.25">
      <c r="A19" t="s">
        <v>79</v>
      </c>
      <c r="B19" t="s">
        <v>394</v>
      </c>
      <c r="C19">
        <v>7000</v>
      </c>
      <c r="D19" t="s">
        <v>208</v>
      </c>
      <c r="E19" t="str">
        <f t="shared" si="0"/>
        <v>Inactive</v>
      </c>
      <c r="F19" t="str">
        <f t="shared" si="1"/>
        <v>PO-DHARA</v>
      </c>
      <c r="G19" t="str">
        <f t="shared" si="2"/>
        <v>Power BI - Dhara</v>
      </c>
    </row>
    <row r="20" spans="1:7" x14ac:dyDescent="0.25">
      <c r="A20" t="s">
        <v>80</v>
      </c>
      <c r="B20" t="s">
        <v>394</v>
      </c>
      <c r="C20">
        <v>7000</v>
      </c>
      <c r="D20" t="s">
        <v>392</v>
      </c>
      <c r="E20" t="str">
        <f t="shared" si="0"/>
        <v>Active</v>
      </c>
      <c r="F20" t="str">
        <f t="shared" si="1"/>
        <v>PO-KRISHNA</v>
      </c>
      <c r="G20" t="str">
        <f t="shared" si="2"/>
        <v>Power BI - Krishna</v>
      </c>
    </row>
    <row r="21" spans="1:7" x14ac:dyDescent="0.25">
      <c r="A21" t="s">
        <v>81</v>
      </c>
      <c r="B21" t="s">
        <v>395</v>
      </c>
      <c r="C21">
        <v>8000</v>
      </c>
      <c r="D21" t="s">
        <v>392</v>
      </c>
      <c r="E21" t="str">
        <f t="shared" si="0"/>
        <v>Active</v>
      </c>
      <c r="F21" t="str">
        <f t="shared" si="1"/>
        <v>PY-HANUMAN</v>
      </c>
      <c r="G21" t="str">
        <f t="shared" si="2"/>
        <v>Python - Hanuman</v>
      </c>
    </row>
  </sheetData>
  <conditionalFormatting sqref="D1:D1048576 E1:F1">
    <cfRule type="cellIs" dxfId="1" priority="1" operator="equal">
      <formula>"Pending"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BF8B-AD20-4A4C-A40B-466145822A60}">
  <dimension ref="A1:G21"/>
  <sheetViews>
    <sheetView workbookViewId="0">
      <selection activeCell="A2" sqref="A2:A11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0" bestFit="1" customWidth="1"/>
    <col min="4" max="4" width="9.5703125" bestFit="1" customWidth="1"/>
    <col min="5" max="5" width="11.28515625" bestFit="1" customWidth="1"/>
    <col min="6" max="6" width="12.28515625" bestFit="1" customWidth="1"/>
    <col min="7" max="7" width="31.140625" bestFit="1" customWidth="1"/>
  </cols>
  <sheetData>
    <row r="1" spans="1:7" s="41" customFormat="1" x14ac:dyDescent="0.25">
      <c r="A1" s="41" t="s">
        <v>399</v>
      </c>
      <c r="B1" s="41" t="s">
        <v>400</v>
      </c>
      <c r="C1" s="41" t="s">
        <v>401</v>
      </c>
      <c r="D1" s="41" t="s">
        <v>402</v>
      </c>
      <c r="E1" s="41" t="s">
        <v>403</v>
      </c>
      <c r="F1" s="41" t="s">
        <v>404</v>
      </c>
      <c r="G1" s="41" t="s">
        <v>405</v>
      </c>
    </row>
    <row r="2" spans="1:7" x14ac:dyDescent="0.25">
      <c r="A2" t="s">
        <v>204</v>
      </c>
      <c r="B2">
        <v>2</v>
      </c>
      <c r="C2">
        <v>85</v>
      </c>
      <c r="D2" t="s">
        <v>185</v>
      </c>
      <c r="E2" t="str">
        <f>IF(AND(B2&gt;=1, D2="Yes"), "Selected", "Rejected")</f>
        <v>Selected</v>
      </c>
      <c r="F2" t="str">
        <f>_xlfn.CONCAT(UPPER(LEFT(A2,2)),"-0",B2)</f>
        <v>AM-02</v>
      </c>
      <c r="G2" t="str">
        <f>UPPER(D2)</f>
        <v>YES</v>
      </c>
    </row>
    <row r="3" spans="1:7" x14ac:dyDescent="0.25">
      <c r="A3" t="s">
        <v>209</v>
      </c>
      <c r="B3">
        <v>0</v>
      </c>
      <c r="C3">
        <v>78</v>
      </c>
      <c r="D3" t="s">
        <v>186</v>
      </c>
      <c r="E3" t="str">
        <f t="shared" ref="E3:E21" si="0">IF(AND(B3&gt;=1, D3="Yes"), "Selected", "Rejected")</f>
        <v>Rejected</v>
      </c>
      <c r="F3" t="str">
        <f t="shared" ref="F3:F21" si="1">_xlfn.CONCAT(UPPER(LEFT(A3,2)),"-0",B3)</f>
        <v>RA-00</v>
      </c>
      <c r="G3" t="str">
        <f t="shared" ref="G3:G21" si="2">UPPER(D3)</f>
        <v>NO</v>
      </c>
    </row>
    <row r="4" spans="1:7" x14ac:dyDescent="0.25">
      <c r="A4" t="s">
        <v>210</v>
      </c>
      <c r="B4">
        <v>4</v>
      </c>
      <c r="C4">
        <v>91</v>
      </c>
      <c r="D4" t="s">
        <v>185</v>
      </c>
      <c r="E4" t="str">
        <f t="shared" si="0"/>
        <v>Selected</v>
      </c>
      <c r="F4" t="str">
        <f t="shared" si="1"/>
        <v>PR-04</v>
      </c>
      <c r="G4" t="str">
        <f t="shared" si="2"/>
        <v>YES</v>
      </c>
    </row>
    <row r="5" spans="1:7" x14ac:dyDescent="0.25">
      <c r="A5" t="s">
        <v>206</v>
      </c>
      <c r="B5">
        <v>1</v>
      </c>
      <c r="C5">
        <v>68</v>
      </c>
      <c r="D5" t="s">
        <v>185</v>
      </c>
      <c r="E5" t="str">
        <f t="shared" si="0"/>
        <v>Selected</v>
      </c>
      <c r="F5" t="str">
        <f t="shared" si="1"/>
        <v>NE-01</v>
      </c>
      <c r="G5" t="str">
        <f t="shared" si="2"/>
        <v>YES</v>
      </c>
    </row>
    <row r="6" spans="1:7" x14ac:dyDescent="0.25">
      <c r="A6" t="s">
        <v>161</v>
      </c>
      <c r="B6">
        <v>2</v>
      </c>
      <c r="C6">
        <v>74</v>
      </c>
      <c r="D6" t="s">
        <v>185</v>
      </c>
      <c r="E6" t="str">
        <f t="shared" si="0"/>
        <v>Selected</v>
      </c>
      <c r="F6" t="str">
        <f t="shared" si="1"/>
        <v>FA-02</v>
      </c>
      <c r="G6" t="str">
        <f t="shared" si="2"/>
        <v>YES</v>
      </c>
    </row>
    <row r="7" spans="1:7" x14ac:dyDescent="0.25">
      <c r="A7" t="s">
        <v>166</v>
      </c>
      <c r="B7">
        <v>2</v>
      </c>
      <c r="C7">
        <v>82</v>
      </c>
      <c r="D7" t="s">
        <v>186</v>
      </c>
      <c r="E7" t="str">
        <f t="shared" si="0"/>
        <v>Rejected</v>
      </c>
      <c r="F7" t="str">
        <f t="shared" si="1"/>
        <v>MO-02</v>
      </c>
      <c r="G7" t="str">
        <f t="shared" si="2"/>
        <v>NO</v>
      </c>
    </row>
    <row r="8" spans="1:7" x14ac:dyDescent="0.25">
      <c r="A8" t="s">
        <v>57</v>
      </c>
      <c r="B8">
        <v>2</v>
      </c>
      <c r="C8">
        <v>82</v>
      </c>
      <c r="D8" t="s">
        <v>185</v>
      </c>
      <c r="E8" t="str">
        <f t="shared" si="0"/>
        <v>Selected</v>
      </c>
      <c r="F8" t="str">
        <f t="shared" si="1"/>
        <v>RA-02</v>
      </c>
      <c r="G8" t="str">
        <f t="shared" si="2"/>
        <v>YES</v>
      </c>
    </row>
    <row r="9" spans="1:7" x14ac:dyDescent="0.25">
      <c r="A9" t="s">
        <v>69</v>
      </c>
      <c r="B9">
        <v>4</v>
      </c>
      <c r="C9">
        <v>93</v>
      </c>
      <c r="D9" t="s">
        <v>186</v>
      </c>
      <c r="E9" t="str">
        <f t="shared" si="0"/>
        <v>Rejected</v>
      </c>
      <c r="F9" t="str">
        <f t="shared" si="1"/>
        <v>KI-04</v>
      </c>
      <c r="G9" t="str">
        <f t="shared" si="2"/>
        <v>NO</v>
      </c>
    </row>
    <row r="10" spans="1:7" x14ac:dyDescent="0.25">
      <c r="A10" t="s">
        <v>70</v>
      </c>
      <c r="B10">
        <v>1</v>
      </c>
      <c r="C10">
        <v>72</v>
      </c>
      <c r="D10" t="s">
        <v>185</v>
      </c>
      <c r="E10" t="str">
        <f t="shared" si="0"/>
        <v>Selected</v>
      </c>
      <c r="F10" t="str">
        <f t="shared" si="1"/>
        <v>JU-01</v>
      </c>
      <c r="G10" t="str">
        <f t="shared" si="2"/>
        <v>YES</v>
      </c>
    </row>
    <row r="11" spans="1:7" x14ac:dyDescent="0.25">
      <c r="A11" t="s">
        <v>71</v>
      </c>
      <c r="B11">
        <v>0</v>
      </c>
      <c r="C11">
        <v>94</v>
      </c>
      <c r="D11" t="s">
        <v>185</v>
      </c>
      <c r="E11" t="str">
        <f t="shared" si="0"/>
        <v>Rejected</v>
      </c>
      <c r="F11" t="str">
        <f t="shared" si="1"/>
        <v>RU-00</v>
      </c>
      <c r="G11" t="str">
        <f t="shared" si="2"/>
        <v>YES</v>
      </c>
    </row>
    <row r="12" spans="1:7" x14ac:dyDescent="0.25">
      <c r="A12" t="s">
        <v>72</v>
      </c>
      <c r="B12">
        <v>0</v>
      </c>
      <c r="C12">
        <v>85</v>
      </c>
      <c r="D12" t="s">
        <v>186</v>
      </c>
      <c r="E12" t="str">
        <f t="shared" si="0"/>
        <v>Rejected</v>
      </c>
      <c r="F12" t="str">
        <f t="shared" si="1"/>
        <v>BA-00</v>
      </c>
      <c r="G12" t="str">
        <f t="shared" si="2"/>
        <v>NO</v>
      </c>
    </row>
    <row r="13" spans="1:7" x14ac:dyDescent="0.25">
      <c r="A13" t="s">
        <v>73</v>
      </c>
      <c r="B13">
        <v>3</v>
      </c>
      <c r="C13">
        <v>84</v>
      </c>
      <c r="D13" t="s">
        <v>185</v>
      </c>
      <c r="E13" t="str">
        <f t="shared" si="0"/>
        <v>Selected</v>
      </c>
      <c r="F13" t="str">
        <f t="shared" si="1"/>
        <v>HI-03</v>
      </c>
      <c r="G13" t="str">
        <f t="shared" si="2"/>
        <v>YES</v>
      </c>
    </row>
    <row r="14" spans="1:7" x14ac:dyDescent="0.25">
      <c r="A14" t="s">
        <v>74</v>
      </c>
      <c r="B14">
        <v>3</v>
      </c>
      <c r="C14">
        <v>80</v>
      </c>
      <c r="D14" t="s">
        <v>185</v>
      </c>
      <c r="E14" t="str">
        <f t="shared" si="0"/>
        <v>Selected</v>
      </c>
      <c r="F14" t="str">
        <f t="shared" si="1"/>
        <v>KE-03</v>
      </c>
      <c r="G14" t="str">
        <f t="shared" si="2"/>
        <v>YES</v>
      </c>
    </row>
    <row r="15" spans="1:7" x14ac:dyDescent="0.25">
      <c r="A15" t="s">
        <v>75</v>
      </c>
      <c r="B15">
        <v>3</v>
      </c>
      <c r="C15">
        <v>87</v>
      </c>
      <c r="D15" t="s">
        <v>186</v>
      </c>
      <c r="E15" t="str">
        <f t="shared" si="0"/>
        <v>Rejected</v>
      </c>
      <c r="F15" t="str">
        <f t="shared" si="1"/>
        <v>YE-03</v>
      </c>
      <c r="G15" t="str">
        <f t="shared" si="2"/>
        <v>NO</v>
      </c>
    </row>
    <row r="16" spans="1:7" x14ac:dyDescent="0.25">
      <c r="A16" t="s">
        <v>76</v>
      </c>
      <c r="B16">
        <v>4</v>
      </c>
      <c r="C16">
        <v>90</v>
      </c>
      <c r="D16" t="s">
        <v>185</v>
      </c>
      <c r="E16" t="str">
        <f t="shared" si="0"/>
        <v>Selected</v>
      </c>
      <c r="F16" t="str">
        <f t="shared" si="1"/>
        <v>RA-04</v>
      </c>
      <c r="G16" t="str">
        <f t="shared" si="2"/>
        <v>YES</v>
      </c>
    </row>
    <row r="17" spans="1:7" x14ac:dyDescent="0.25">
      <c r="A17" t="s">
        <v>77</v>
      </c>
      <c r="B17">
        <v>0</v>
      </c>
      <c r="C17">
        <v>83</v>
      </c>
      <c r="D17" t="s">
        <v>185</v>
      </c>
      <c r="E17" t="str">
        <f t="shared" si="0"/>
        <v>Rejected</v>
      </c>
      <c r="F17" t="str">
        <f t="shared" si="1"/>
        <v>HA-00</v>
      </c>
      <c r="G17" t="str">
        <f t="shared" si="2"/>
        <v>YES</v>
      </c>
    </row>
    <row r="18" spans="1:7" x14ac:dyDescent="0.25">
      <c r="A18" t="s">
        <v>78</v>
      </c>
      <c r="B18">
        <v>1</v>
      </c>
      <c r="C18">
        <v>81</v>
      </c>
      <c r="D18" t="s">
        <v>185</v>
      </c>
      <c r="E18" t="str">
        <f t="shared" si="0"/>
        <v>Selected</v>
      </c>
      <c r="F18" t="str">
        <f t="shared" si="1"/>
        <v>PA-01</v>
      </c>
      <c r="G18" t="str">
        <f t="shared" si="2"/>
        <v>YES</v>
      </c>
    </row>
    <row r="19" spans="1:7" x14ac:dyDescent="0.25">
      <c r="A19" t="s">
        <v>79</v>
      </c>
      <c r="B19">
        <v>1</v>
      </c>
      <c r="C19">
        <v>83</v>
      </c>
      <c r="D19" t="s">
        <v>185</v>
      </c>
      <c r="E19" t="str">
        <f t="shared" si="0"/>
        <v>Selected</v>
      </c>
      <c r="F19" t="str">
        <f t="shared" si="1"/>
        <v>DH-01</v>
      </c>
      <c r="G19" t="str">
        <f t="shared" si="2"/>
        <v>YES</v>
      </c>
    </row>
    <row r="20" spans="1:7" x14ac:dyDescent="0.25">
      <c r="A20" t="s">
        <v>80</v>
      </c>
      <c r="B20">
        <v>4</v>
      </c>
      <c r="C20">
        <v>88</v>
      </c>
      <c r="D20" t="s">
        <v>185</v>
      </c>
      <c r="E20" t="str">
        <f t="shared" si="0"/>
        <v>Selected</v>
      </c>
      <c r="F20" t="str">
        <f t="shared" si="1"/>
        <v>KR-04</v>
      </c>
      <c r="G20" t="str">
        <f t="shared" si="2"/>
        <v>YES</v>
      </c>
    </row>
    <row r="21" spans="1:7" x14ac:dyDescent="0.25">
      <c r="A21" t="s">
        <v>81</v>
      </c>
      <c r="B21">
        <v>3</v>
      </c>
      <c r="C21">
        <v>72</v>
      </c>
      <c r="D21" t="s">
        <v>185</v>
      </c>
      <c r="E21" t="str">
        <f t="shared" si="0"/>
        <v>Selected</v>
      </c>
      <c r="F21" t="str">
        <f t="shared" si="1"/>
        <v>HA-03</v>
      </c>
      <c r="G21" t="str">
        <f t="shared" si="2"/>
        <v>YES</v>
      </c>
    </row>
  </sheetData>
  <conditionalFormatting sqref="C2:C21">
    <cfRule type="cellIs" dxfId="0" priority="1" operator="greaterThan">
      <formula>90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28A0-E321-4246-B4C3-AE5B826D7BC8}">
  <dimension ref="A1:P15"/>
  <sheetViews>
    <sheetView workbookViewId="0">
      <selection sqref="A1:E11"/>
    </sheetView>
  </sheetViews>
  <sheetFormatPr defaultRowHeight="15" x14ac:dyDescent="0.25"/>
  <cols>
    <col min="1" max="1" width="7" bestFit="1" customWidth="1"/>
    <col min="2" max="5" width="11.7109375" bestFit="1" customWidth="1"/>
    <col min="9" max="9" width="11.7109375" bestFit="1" customWidth="1"/>
  </cols>
  <sheetData>
    <row r="1" spans="1:16" x14ac:dyDescent="0.25">
      <c r="A1" s="41" t="s">
        <v>406</v>
      </c>
      <c r="B1" s="41" t="s">
        <v>1</v>
      </c>
      <c r="C1" s="41" t="s">
        <v>407</v>
      </c>
      <c r="D1" s="41" t="s">
        <v>3</v>
      </c>
      <c r="E1" s="41" t="s">
        <v>408</v>
      </c>
    </row>
    <row r="2" spans="1:16" x14ac:dyDescent="0.25">
      <c r="A2" t="s">
        <v>5</v>
      </c>
      <c r="B2" t="s">
        <v>204</v>
      </c>
      <c r="C2" t="s">
        <v>7</v>
      </c>
      <c r="D2">
        <v>45000</v>
      </c>
      <c r="E2" t="s">
        <v>410</v>
      </c>
    </row>
    <row r="3" spans="1:16" x14ac:dyDescent="0.25">
      <c r="A3" t="s">
        <v>8</v>
      </c>
      <c r="B3" t="s">
        <v>209</v>
      </c>
      <c r="C3" t="s">
        <v>10</v>
      </c>
      <c r="D3">
        <v>60000</v>
      </c>
      <c r="E3" t="s">
        <v>411</v>
      </c>
    </row>
    <row r="4" spans="1:16" x14ac:dyDescent="0.25">
      <c r="A4" t="s">
        <v>11</v>
      </c>
      <c r="B4" t="s">
        <v>210</v>
      </c>
      <c r="C4" t="s">
        <v>13</v>
      </c>
      <c r="D4">
        <v>55000</v>
      </c>
      <c r="E4" t="s">
        <v>412</v>
      </c>
      <c r="H4" t="s">
        <v>406</v>
      </c>
      <c r="I4" t="s">
        <v>1</v>
      </c>
    </row>
    <row r="5" spans="1:16" x14ac:dyDescent="0.25">
      <c r="A5" t="s">
        <v>14</v>
      </c>
      <c r="B5" t="s">
        <v>206</v>
      </c>
      <c r="C5" t="s">
        <v>18</v>
      </c>
      <c r="D5">
        <v>50000</v>
      </c>
      <c r="E5" t="s">
        <v>413</v>
      </c>
      <c r="H5" t="s">
        <v>5</v>
      </c>
      <c r="I5" t="str">
        <f>IFERROR(VLOOKUP(H5,A1:E11,2,0), "Invalid")</f>
        <v>Amit</v>
      </c>
      <c r="L5">
        <f>COLUMNS($K$3:L3)</f>
        <v>2</v>
      </c>
      <c r="M5">
        <f>COLUMNS($K$3:M3)</f>
        <v>3</v>
      </c>
      <c r="N5">
        <f>COLUMNS($K$3:N3)</f>
        <v>4</v>
      </c>
      <c r="O5">
        <f>COLUMNS($K$3:O3)</f>
        <v>5</v>
      </c>
      <c r="P5">
        <f>COLUMNS($K$3:P3)</f>
        <v>6</v>
      </c>
    </row>
    <row r="6" spans="1:16" x14ac:dyDescent="0.25">
      <c r="A6" t="s">
        <v>16</v>
      </c>
      <c r="B6" t="s">
        <v>161</v>
      </c>
      <c r="C6" t="s">
        <v>10</v>
      </c>
      <c r="D6">
        <v>65000</v>
      </c>
      <c r="E6" t="s">
        <v>414</v>
      </c>
    </row>
    <row r="7" spans="1:16" x14ac:dyDescent="0.25">
      <c r="A7" t="s">
        <v>19</v>
      </c>
      <c r="B7" t="s">
        <v>166</v>
      </c>
      <c r="C7" t="s">
        <v>7</v>
      </c>
      <c r="D7">
        <v>47000</v>
      </c>
      <c r="E7" t="s">
        <v>415</v>
      </c>
    </row>
    <row r="8" spans="1:16" x14ac:dyDescent="0.25">
      <c r="A8" t="s">
        <v>20</v>
      </c>
      <c r="B8" t="s">
        <v>57</v>
      </c>
      <c r="C8" t="s">
        <v>409</v>
      </c>
      <c r="D8">
        <v>58000</v>
      </c>
      <c r="E8" t="s">
        <v>416</v>
      </c>
    </row>
    <row r="9" spans="1:16" x14ac:dyDescent="0.25">
      <c r="A9" t="s">
        <v>21</v>
      </c>
      <c r="B9" t="s">
        <v>69</v>
      </c>
      <c r="C9" t="s">
        <v>13</v>
      </c>
      <c r="D9">
        <v>62000</v>
      </c>
      <c r="E9" t="s">
        <v>417</v>
      </c>
      <c r="H9" t="s">
        <v>1</v>
      </c>
      <c r="I9" t="s">
        <v>3</v>
      </c>
    </row>
    <row r="10" spans="1:16" x14ac:dyDescent="0.25">
      <c r="A10" t="s">
        <v>22</v>
      </c>
      <c r="B10" t="s">
        <v>70</v>
      </c>
      <c r="C10" t="s">
        <v>18</v>
      </c>
      <c r="D10">
        <v>53000</v>
      </c>
      <c r="E10" t="s">
        <v>418</v>
      </c>
      <c r="H10" t="s">
        <v>166</v>
      </c>
      <c r="I10">
        <f>VLOOKUP(H10,B1:E11,3,0)</f>
        <v>47000</v>
      </c>
    </row>
    <row r="11" spans="1:16" x14ac:dyDescent="0.25">
      <c r="A11" t="s">
        <v>23</v>
      </c>
      <c r="B11" t="s">
        <v>71</v>
      </c>
      <c r="C11" t="s">
        <v>10</v>
      </c>
      <c r="D11">
        <v>70000</v>
      </c>
      <c r="E11" t="s">
        <v>419</v>
      </c>
    </row>
    <row r="13" spans="1:16" x14ac:dyDescent="0.25">
      <c r="H13" t="s">
        <v>406</v>
      </c>
      <c r="I13" t="s">
        <v>408</v>
      </c>
    </row>
    <row r="14" spans="1:16" x14ac:dyDescent="0.25">
      <c r="A14" s="41" t="s">
        <v>406</v>
      </c>
      <c r="B14" s="41" t="s">
        <v>1</v>
      </c>
      <c r="C14" s="41" t="s">
        <v>407</v>
      </c>
      <c r="D14" s="41" t="s">
        <v>3</v>
      </c>
      <c r="E14" s="41" t="s">
        <v>408</v>
      </c>
      <c r="H14" t="s">
        <v>5</v>
      </c>
      <c r="I14" t="str">
        <f>VLOOKUP(H14,A1:E11,5,0)</f>
        <v>Ahmedabad</v>
      </c>
    </row>
    <row r="15" spans="1:16" x14ac:dyDescent="0.25">
      <c r="A15" t="s">
        <v>22</v>
      </c>
      <c r="B15" t="str">
        <f>VLOOKUP($A$15,$A$1:$E$11,COLUMNS($A$2:B2),0)</f>
        <v>Juhi</v>
      </c>
      <c r="C15" t="str">
        <f>VLOOKUP($A$15,$A$1:$E$11,COLUMNS($A$2:C2),0)</f>
        <v>Sales</v>
      </c>
      <c r="D15">
        <f>VLOOKUP($A$15,$A$1:$E$11,COLUMNS($A$2:D2),0)</f>
        <v>53000</v>
      </c>
      <c r="E15" t="str">
        <f>VLOOKUP($A$15,$A$1:$E$11,COLUMNS($A$2:E2),0)</f>
        <v>Kolkata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8F35-095B-491C-97E1-257025AC93F9}">
  <dimension ref="A1:M6"/>
  <sheetViews>
    <sheetView tabSelected="1" workbookViewId="0">
      <selection activeCell="J6" sqref="J6"/>
    </sheetView>
  </sheetViews>
  <sheetFormatPr defaultRowHeight="15" x14ac:dyDescent="0.25"/>
  <sheetData>
    <row r="1" spans="1:13" s="41" customFormat="1" x14ac:dyDescent="0.25">
      <c r="A1" s="41" t="s">
        <v>426</v>
      </c>
      <c r="B1" s="41" t="s">
        <v>154</v>
      </c>
      <c r="C1" s="41" t="s">
        <v>420</v>
      </c>
      <c r="D1" s="41" t="s">
        <v>152</v>
      </c>
      <c r="E1" s="41" t="s">
        <v>421</v>
      </c>
    </row>
    <row r="2" spans="1:13" x14ac:dyDescent="0.25">
      <c r="A2" t="s">
        <v>422</v>
      </c>
      <c r="B2">
        <v>50</v>
      </c>
      <c r="C2">
        <v>10</v>
      </c>
      <c r="D2">
        <v>5</v>
      </c>
      <c r="E2">
        <v>4</v>
      </c>
    </row>
    <row r="3" spans="1:13" x14ac:dyDescent="0.25">
      <c r="A3" t="s">
        <v>423</v>
      </c>
      <c r="B3">
        <v>60</v>
      </c>
      <c r="C3">
        <v>20</v>
      </c>
      <c r="D3">
        <v>10</v>
      </c>
      <c r="E3">
        <v>6</v>
      </c>
    </row>
    <row r="4" spans="1:13" x14ac:dyDescent="0.25">
      <c r="A4" t="s">
        <v>424</v>
      </c>
      <c r="B4">
        <v>70</v>
      </c>
      <c r="C4">
        <v>30</v>
      </c>
      <c r="D4">
        <v>15</v>
      </c>
      <c r="E4">
        <v>7</v>
      </c>
    </row>
    <row r="5" spans="1:13" x14ac:dyDescent="0.25">
      <c r="A5" t="s">
        <v>425</v>
      </c>
      <c r="B5">
        <v>80</v>
      </c>
      <c r="C5">
        <v>40</v>
      </c>
      <c r="D5">
        <v>20</v>
      </c>
      <c r="E5">
        <v>9</v>
      </c>
      <c r="J5" t="s">
        <v>422</v>
      </c>
      <c r="K5" t="s">
        <v>423</v>
      </c>
      <c r="L5" t="s">
        <v>424</v>
      </c>
      <c r="M5" t="s">
        <v>425</v>
      </c>
    </row>
    <row r="6" spans="1:13" x14ac:dyDescent="0.25">
      <c r="I6" t="s">
        <v>154</v>
      </c>
      <c r="J6">
        <f>HLOOKUP($I$6,$A$1:$E$5,COLUMNS($A$2:B2),0)</f>
        <v>50</v>
      </c>
      <c r="K6">
        <f>HLOOKUP($I$6,$A$1:$E$5,COLUMNS($A$2:C2),0)</f>
        <v>60</v>
      </c>
      <c r="L6">
        <f>HLOOKUP($I$6,$A$1:$E$5,COLUMNS($A$2:D2),0)</f>
        <v>70</v>
      </c>
      <c r="M6">
        <f>HLOOKUP($I$6,$A$1:$E$5,COLUMNS($A$2:E2),0)</f>
        <v>80</v>
      </c>
    </row>
  </sheetData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42C8-F92D-4076-A7E5-048B0FC90BD7}">
  <dimension ref="A1:O18"/>
  <sheetViews>
    <sheetView workbookViewId="0">
      <selection activeCell="I19" sqref="I19"/>
    </sheetView>
  </sheetViews>
  <sheetFormatPr defaultRowHeight="15" x14ac:dyDescent="0.25"/>
  <cols>
    <col min="1" max="1" width="7" bestFit="1" customWidth="1"/>
    <col min="2" max="2" width="7.140625" bestFit="1" customWidth="1"/>
    <col min="3" max="3" width="10" bestFit="1" customWidth="1"/>
    <col min="4" max="4" width="6.28515625" bestFit="1" customWidth="1"/>
    <col min="5" max="5" width="11.7109375" bestFit="1" customWidth="1"/>
    <col min="11" max="15" width="14.85546875" customWidth="1"/>
  </cols>
  <sheetData>
    <row r="1" spans="1:15" x14ac:dyDescent="0.25">
      <c r="A1" s="41" t="s">
        <v>406</v>
      </c>
      <c r="B1" s="41" t="s">
        <v>1</v>
      </c>
      <c r="C1" s="41" t="s">
        <v>407</v>
      </c>
      <c r="D1" s="41" t="s">
        <v>3</v>
      </c>
      <c r="E1" s="41" t="s">
        <v>408</v>
      </c>
    </row>
    <row r="2" spans="1:15" x14ac:dyDescent="0.25">
      <c r="A2" t="s">
        <v>5</v>
      </c>
      <c r="B2" t="s">
        <v>204</v>
      </c>
      <c r="C2" t="s">
        <v>7</v>
      </c>
      <c r="D2">
        <v>45000</v>
      </c>
      <c r="E2" t="s">
        <v>410</v>
      </c>
    </row>
    <row r="3" spans="1:15" x14ac:dyDescent="0.25">
      <c r="A3" t="s">
        <v>8</v>
      </c>
      <c r="B3" t="s">
        <v>209</v>
      </c>
      <c r="C3" t="s">
        <v>10</v>
      </c>
      <c r="D3">
        <v>60000</v>
      </c>
      <c r="E3" t="s">
        <v>411</v>
      </c>
    </row>
    <row r="4" spans="1:15" x14ac:dyDescent="0.25">
      <c r="A4" t="s">
        <v>11</v>
      </c>
      <c r="B4" t="s">
        <v>210</v>
      </c>
      <c r="C4" t="s">
        <v>13</v>
      </c>
      <c r="D4">
        <v>55000</v>
      </c>
      <c r="E4" t="s">
        <v>412</v>
      </c>
      <c r="H4" s="41" t="s">
        <v>406</v>
      </c>
      <c r="I4" s="41" t="s">
        <v>1</v>
      </c>
      <c r="K4" s="41" t="s">
        <v>406</v>
      </c>
      <c r="L4" s="41" t="s">
        <v>3</v>
      </c>
    </row>
    <row r="5" spans="1:15" x14ac:dyDescent="0.25">
      <c r="A5" t="s">
        <v>14</v>
      </c>
      <c r="B5" t="s">
        <v>206</v>
      </c>
      <c r="C5" t="s">
        <v>18</v>
      </c>
      <c r="D5">
        <v>50000</v>
      </c>
      <c r="E5" t="s">
        <v>413</v>
      </c>
      <c r="H5" t="s">
        <v>8</v>
      </c>
      <c r="I5" t="str">
        <f>_xlfn.XLOOKUP(H5,A2:A11,B2:B11, "Invalid")</f>
        <v>Ravi</v>
      </c>
      <c r="K5" t="s">
        <v>22</v>
      </c>
      <c r="L5">
        <f>_xlfn.XLOOKUP(K5,A2:A11,D2:D11)</f>
        <v>53000</v>
      </c>
    </row>
    <row r="6" spans="1:15" x14ac:dyDescent="0.25">
      <c r="A6" t="s">
        <v>16</v>
      </c>
      <c r="B6" t="s">
        <v>161</v>
      </c>
      <c r="C6" t="s">
        <v>10</v>
      </c>
      <c r="D6">
        <v>65000</v>
      </c>
      <c r="E6" t="s">
        <v>414</v>
      </c>
    </row>
    <row r="7" spans="1:15" x14ac:dyDescent="0.25">
      <c r="A7" t="s">
        <v>19</v>
      </c>
      <c r="B7" t="s">
        <v>166</v>
      </c>
      <c r="C7" t="s">
        <v>7</v>
      </c>
      <c r="D7">
        <v>47000</v>
      </c>
      <c r="E7" t="s">
        <v>415</v>
      </c>
    </row>
    <row r="8" spans="1:15" x14ac:dyDescent="0.25">
      <c r="A8" t="s">
        <v>20</v>
      </c>
      <c r="B8" t="s">
        <v>57</v>
      </c>
      <c r="C8" t="s">
        <v>409</v>
      </c>
      <c r="D8">
        <v>58000</v>
      </c>
      <c r="E8" t="s">
        <v>416</v>
      </c>
    </row>
    <row r="9" spans="1:15" x14ac:dyDescent="0.25">
      <c r="A9" t="s">
        <v>21</v>
      </c>
      <c r="B9" t="s">
        <v>69</v>
      </c>
      <c r="C9" t="s">
        <v>13</v>
      </c>
      <c r="D9">
        <v>62000</v>
      </c>
      <c r="E9" t="s">
        <v>417</v>
      </c>
    </row>
    <row r="10" spans="1:15" x14ac:dyDescent="0.25">
      <c r="A10" t="s">
        <v>22</v>
      </c>
      <c r="B10" t="s">
        <v>70</v>
      </c>
      <c r="C10" t="s">
        <v>18</v>
      </c>
      <c r="D10">
        <v>53000</v>
      </c>
      <c r="E10" t="s">
        <v>418</v>
      </c>
    </row>
    <row r="11" spans="1:15" x14ac:dyDescent="0.25">
      <c r="A11" t="s">
        <v>23</v>
      </c>
      <c r="B11" t="s">
        <v>71</v>
      </c>
      <c r="C11" t="s">
        <v>10</v>
      </c>
      <c r="D11">
        <v>70000</v>
      </c>
      <c r="E11" t="s">
        <v>419</v>
      </c>
      <c r="K11" s="41" t="s">
        <v>406</v>
      </c>
      <c r="L11" s="41" t="s">
        <v>1</v>
      </c>
      <c r="M11" s="41" t="s">
        <v>407</v>
      </c>
      <c r="N11" s="41" t="s">
        <v>3</v>
      </c>
      <c r="O11" s="41" t="s">
        <v>408</v>
      </c>
    </row>
    <row r="12" spans="1:15" x14ac:dyDescent="0.25">
      <c r="K12" t="s">
        <v>5</v>
      </c>
      <c r="L12" t="str" cm="1">
        <f t="array" ref="L12:O12">_xlfn.XLOOKUP(K12,A2:A11,B2:E11)</f>
        <v>Amit</v>
      </c>
      <c r="M12" t="str">
        <v>HR</v>
      </c>
      <c r="N12">
        <v>45000</v>
      </c>
      <c r="O12" t="str">
        <v>Ahmedabad</v>
      </c>
    </row>
    <row r="17" spans="9:10" x14ac:dyDescent="0.25">
      <c r="I17" t="s">
        <v>1</v>
      </c>
      <c r="J17" t="s">
        <v>406</v>
      </c>
    </row>
    <row r="18" spans="9:10" x14ac:dyDescent="0.25">
      <c r="I18" t="s">
        <v>69</v>
      </c>
      <c r="J18" t="str">
        <f>_xlfn.XLOOKUP(I18,B2:B11,A2:A11)</f>
        <v>E108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Basic formatting</vt:lpstr>
      <vt:lpstr>Beautification</vt:lpstr>
      <vt:lpstr>Formatting</vt:lpstr>
      <vt:lpstr>Aggregation functions</vt:lpstr>
      <vt:lpstr>Salary analysis</vt:lpstr>
      <vt:lpstr>COUNTIF</vt:lpstr>
      <vt:lpstr>Sales Count Logic</vt:lpstr>
      <vt:lpstr>Conditional Formatting – Sales</vt:lpstr>
      <vt:lpstr>Student Result Highlight</vt:lpstr>
      <vt:lpstr>Salary Band – Conditional Forma</vt:lpstr>
      <vt:lpstr>Faculty evaluation</vt:lpstr>
      <vt:lpstr>Pass Fail using IF</vt:lpstr>
      <vt:lpstr>Salary Bonus Check (IF)</vt:lpstr>
      <vt:lpstr>Grade Calculation (Nested IF)</vt:lpstr>
      <vt:lpstr>Job Eligibility (AND)</vt:lpstr>
      <vt:lpstr>Exam Eligibility (AND)</vt:lpstr>
      <vt:lpstr>Discount Logic (OR)</vt:lpstr>
      <vt:lpstr>Loan Approval (OR)</vt:lpstr>
      <vt:lpstr>Attendance Status (NOT)</vt:lpstr>
      <vt:lpstr>Safe Division (IFERROR)</vt:lpstr>
      <vt:lpstr>Performance Evaluation (Combine</vt:lpstr>
      <vt:lpstr>E-Commerce Order Sheet</vt:lpstr>
      <vt:lpstr>Hospital Patient Register</vt:lpstr>
      <vt:lpstr>Movie Booking System</vt:lpstr>
      <vt:lpstr>School Library</vt:lpstr>
      <vt:lpstr>Restaurant Billing</vt:lpstr>
      <vt:lpstr>Airport Passenger List</vt:lpstr>
      <vt:lpstr>Cricket Tournament</vt:lpstr>
      <vt:lpstr>Gym Membership</vt:lpstr>
      <vt:lpstr>Online Course Enrollment</vt:lpstr>
      <vt:lpstr>HR Recruitment Tracker</vt:lpstr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2026-07-04T08:32:46Z</dcterms:created>
  <dcterms:modified xsi:type="dcterms:W3CDTF">2026-07-11T09:57:04Z</dcterms:modified>
</cp:coreProperties>
</file>